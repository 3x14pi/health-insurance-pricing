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olatore B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 €"/>
    <numFmt numFmtId="166" formatCode="0.00 &quot;€/anno-uomo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5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Calcolatore Burning Cost — Modello Freq × Severity</t>
        </is>
      </c>
    </row>
    <row r="2" ht="22" customHeight="1">
      <c r="A2" s="2" t="inlineStr">
        <is>
          <t>Caratteristica</t>
        </is>
      </c>
      <c r="B2" s="2" t="inlineStr">
        <is>
          <t>Valore assicurato</t>
        </is>
      </c>
      <c r="C2" s="2" t="inlineStr">
        <is>
          <t>Fattore FREQUENZA</t>
        </is>
      </c>
      <c r="D2" s="2" t="inlineStr">
        <is>
          <t>Fattore SEVERITY</t>
        </is>
      </c>
      <c r="E2" s="2" t="inlineStr">
        <is>
          <t>Note</t>
        </is>
      </c>
    </row>
    <row r="3">
      <c r="A3" s="3" t="inlineStr">
        <is>
          <t>Intercetta (base)</t>
        </is>
      </c>
      <c r="B3" s="4" t="inlineStr">
        <is>
          <t>—</t>
        </is>
      </c>
      <c r="C3" s="5" t="n">
        <v>1.0123</v>
      </c>
      <c r="D3" s="5" t="n">
        <v>61.5647</v>
      </c>
      <c r="E3" s="4" t="inlineStr">
        <is>
          <t>Sempre presente</t>
        </is>
      </c>
    </row>
    <row r="4">
      <c r="A4" s="3" t="inlineStr">
        <is>
          <t>Fascia età</t>
        </is>
      </c>
      <c r="B4" s="6" t="inlineStr">
        <is>
          <t>46-60</t>
        </is>
      </c>
      <c r="C4" s="5" t="n">
        <v>1.2945</v>
      </c>
      <c r="D4" s="5" t="n">
        <v>1.1138</v>
      </c>
      <c r="E4" s="4" t="inlineStr">
        <is>
          <t>Lookup manuale</t>
        </is>
      </c>
    </row>
    <row r="5">
      <c r="A5" s="3" t="inlineStr">
        <is>
          <t>Categoria</t>
        </is>
      </c>
      <c r="B5" s="6" t="inlineStr">
        <is>
          <t>DIRIGENZIALE</t>
        </is>
      </c>
      <c r="C5" s="5" t="n">
        <v>2.0889</v>
      </c>
      <c r="D5" s="5" t="n">
        <v>1.3232</v>
      </c>
      <c r="E5" s="4" t="inlineStr">
        <is>
          <t>Lookup manuale</t>
        </is>
      </c>
    </row>
    <row r="6">
      <c r="A6" s="3" t="inlineStr">
        <is>
          <t>Legame familiare</t>
        </is>
      </c>
      <c r="B6" s="6" t="inlineStr">
        <is>
          <t>CAPONUCLEO</t>
        </is>
      </c>
      <c r="C6" s="5" t="n">
        <v>1</v>
      </c>
      <c r="D6" s="5" t="n">
        <v>1</v>
      </c>
      <c r="E6" s="4" t="inlineStr">
        <is>
          <t>CAPONUCLEO = riferimento</t>
        </is>
      </c>
    </row>
    <row r="7">
      <c r="A7" s="3" t="inlineStr">
        <is>
          <t>Settore</t>
        </is>
      </c>
      <c r="B7" s="6" t="inlineStr">
        <is>
          <t>BANKING_FINANCE</t>
        </is>
      </c>
      <c r="C7" s="5" t="n">
        <v>1.29</v>
      </c>
      <c r="D7" s="5" t="n">
        <v>1.122</v>
      </c>
      <c r="E7" s="4" t="inlineStr">
        <is>
          <t>Lookup manuale</t>
        </is>
      </c>
    </row>
    <row r="8">
      <c r="A8" s="3" t="inlineStr">
        <is>
          <t>Macroarea</t>
        </is>
      </c>
      <c r="B8" s="6" t="inlineStr">
        <is>
          <t>NORD-OVEST</t>
        </is>
      </c>
      <c r="C8" s="5" t="n">
        <v>0.9177</v>
      </c>
      <c r="D8" s="5" t="n">
        <v>1.0716</v>
      </c>
      <c r="E8" s="4" t="inlineStr">
        <is>
          <t>Lookup manuale</t>
        </is>
      </c>
    </row>
    <row r="9">
      <c r="A9" s="3" t="inlineStr">
        <is>
          <t>Interazione fascia × sesso</t>
        </is>
      </c>
      <c r="B9" s="6" t="inlineStr">
        <is>
          <t>46-60 × M</t>
        </is>
      </c>
      <c r="C9" s="5" t="n">
        <v>0.595</v>
      </c>
      <c r="D9" s="5" t="n">
        <v>0.9867</v>
      </c>
      <c r="E9" s="4" t="inlineStr">
        <is>
          <t>Solo se MASCHIO; altrimenti 1</t>
        </is>
      </c>
    </row>
    <row r="10">
      <c r="A10" s="3" t="inlineStr">
        <is>
          <t>N. componenti nucleo</t>
        </is>
      </c>
      <c r="B10" s="6" t="n">
        <v>3</v>
      </c>
      <c r="C10" s="5" t="n">
        <v>0.8718</v>
      </c>
      <c r="D10" s="5" t="n">
        <v>0.9765</v>
      </c>
      <c r="E10" s="4">
        <f> 0.9553^B10  (freq)</f>
        <v/>
      </c>
    </row>
    <row r="11">
      <c r="A11" s="3" t="inlineStr">
        <is>
          <t>N. dipendenti azienda</t>
        </is>
      </c>
      <c r="B11" s="6" t="n">
        <v>200</v>
      </c>
      <c r="C11" s="5" t="n">
        <v>0.6662</v>
      </c>
      <c r="D11" s="5" t="n">
        <v>1.0807</v>
      </c>
      <c r="E11" s="4">
        <f> 0.9262^LN(B11) (freq)</f>
        <v/>
      </c>
    </row>
    <row r="12">
      <c r="A12" s="7" t="n"/>
      <c r="B12" s="7" t="n"/>
      <c r="C12" s="7" t="n"/>
      <c r="D12" s="7" t="n"/>
      <c r="E12" s="7" t="n"/>
    </row>
    <row r="13">
      <c r="A13" s="8" t="inlineStr">
        <is>
          <t>TASSO λ (sin./anno)</t>
        </is>
      </c>
      <c r="B13" s="9">
        <f> PRODOTTO(C3:C11)</f>
        <v/>
      </c>
      <c r="C13" s="10" t="n">
        <v>1.1198</v>
      </c>
      <c r="D13" s="11" t="inlineStr"/>
      <c r="E13" s="4" t="inlineStr">
        <is>
          <t>sinistri per anno-uomo</t>
        </is>
      </c>
    </row>
    <row r="14">
      <c r="A14" s="8" t="inlineStr">
        <is>
          <t>COSTO/SINISTRO ν (€)</t>
        </is>
      </c>
      <c r="B14" s="9">
        <f> PRODOTTO(D3:D11)</f>
        <v/>
      </c>
      <c r="C14" s="11" t="inlineStr"/>
      <c r="D14" s="12" t="n">
        <v>113.6</v>
      </c>
      <c r="E14" s="4" t="inlineStr">
        <is>
          <t>euro per sinistro</t>
        </is>
      </c>
    </row>
    <row r="15">
      <c r="A15" s="8" t="inlineStr">
        <is>
          <t>BURNING COST = λ × ν</t>
        </is>
      </c>
      <c r="C15" s="13" t="n">
        <v>127.21</v>
      </c>
      <c r="E15" s="4" t="inlineStr">
        <is>
          <t>Media portafoglio: 49 € → 2.6× la media</t>
        </is>
      </c>
    </row>
  </sheetData>
  <mergeCells count="3">
    <mergeCell ref="C15:D15"/>
    <mergeCell ref="A1:E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2026-06-30T21:33:56Z</dcterms:created>
  <dcterms:modified xmlns:dcterms="http://purl.org/dc/terms/" xmlns:xsi="http://www.w3.org/2001/XMLSchema-instance" xsi:type="dcterms:W3CDTF">2026-06-30T21:33:56Z</dcterms:modified>
</cp:coreProperties>
</file>