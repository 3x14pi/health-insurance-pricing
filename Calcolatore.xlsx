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efficienti e Calcolatore" sheetId="1" r:id="rId5"/>
  </sheets>
  <definedNames/>
  <calcPr/>
</workbook>
</file>

<file path=xl/sharedStrings.xml><?xml version="1.0" encoding="utf-8"?>
<sst xmlns="http://schemas.openxmlformats.org/spreadsheetml/2006/main" count="202" uniqueCount="85">
  <si>
    <t>TABELLA PER CALCOLARE IL BURNING COST</t>
  </si>
  <si>
    <t>modello</t>
  </si>
  <si>
    <t>termine</t>
  </si>
  <si>
    <t xml:space="preserve">coef β </t>
  </si>
  <si>
    <t xml:space="preserve">fatt. tarif. exp(β) </t>
  </si>
  <si>
    <t>I riferimenti alle stesse categorie valgono 1. (es CAPONUCLEO è il riferimento per il legame familiare)</t>
  </si>
  <si>
    <t>frequenza</t>
  </si>
  <si>
    <t>Intercept</t>
  </si>
  <si>
    <t>severity</t>
  </si>
  <si>
    <t>C(fascia_eta)[T.18-30]</t>
  </si>
  <si>
    <t>Calcolatore Burning Cost — Modello Freq × Severity</t>
  </si>
  <si>
    <t>C(fascia_eta)[T.31-45]</t>
  </si>
  <si>
    <t>Caratteristica</t>
  </si>
  <si>
    <t>Valore assicurato</t>
  </si>
  <si>
    <t>Fattore FREQUENZA</t>
  </si>
  <si>
    <t>Fattore SEVERITY</t>
  </si>
  <si>
    <t>Riferimenti - Note</t>
  </si>
  <si>
    <t>C(fascia_eta)[T.46-60]</t>
  </si>
  <si>
    <t>Intercetta (base)</t>
  </si>
  <si>
    <t>—</t>
  </si>
  <si>
    <t>Sempre presente</t>
  </si>
  <si>
    <t>C(fascia_eta)[T.61-75]</t>
  </si>
  <si>
    <t>Fascia età</t>
  </si>
  <si>
    <t>46-60</t>
  </si>
  <si>
    <t>Fascia 0-17</t>
  </si>
  <si>
    <t>C(fascia_eta)[T.75+]</t>
  </si>
  <si>
    <t>Categoria</t>
  </si>
  <si>
    <t>DIRIGENZIALE</t>
  </si>
  <si>
    <t>Dip. Base</t>
  </si>
  <si>
    <t>C(sesso)[T.M]</t>
  </si>
  <si>
    <t>Legame familiare</t>
  </si>
  <si>
    <t>CAPONUCLEO</t>
  </si>
  <si>
    <t>Caponucleo</t>
  </si>
  <si>
    <t>C(categoria, Treatment(reference='DIP_BASE'))[T.ALTRO]</t>
  </si>
  <si>
    <t>Settore</t>
  </si>
  <si>
    <t>BANKING_FINANCE</t>
  </si>
  <si>
    <t>Automotive</t>
  </si>
  <si>
    <t>C(categoria, Treatment(reference='DIP_BASE'))[T.DIP_QUALIFICATO]</t>
  </si>
  <si>
    <t>Sesso</t>
  </si>
  <si>
    <t>MASCHIO</t>
  </si>
  <si>
    <t>Femmina</t>
  </si>
  <si>
    <t>C(categoria, Treatment(reference='DIP_BASE'))[T.DIRIGENZIALE]</t>
  </si>
  <si>
    <t>Macroarea</t>
  </si>
  <si>
    <t>NORD-OVEST</t>
  </si>
  <si>
    <t>Centro</t>
  </si>
  <si>
    <t>C(categoria, Treatment(reference='DIP_BASE'))[T.PENSIONATI]</t>
  </si>
  <si>
    <t>Interazione fascia × sesso</t>
  </si>
  <si>
    <t>(46-60) × M</t>
  </si>
  <si>
    <t>C(legame_familiare)[T.CONIUGE]</t>
  </si>
  <si>
    <t>N. componenti nucleo</t>
  </si>
  <si>
    <t>exp(β)^(N. componenti nucleo)</t>
  </si>
  <si>
    <t>C(legame_familiare)[T.CONVIVENTE]</t>
  </si>
  <si>
    <t>N. dipendenti azienda</t>
  </si>
  <si>
    <t>exp(β)^(ln(N. dip. azienda))</t>
  </si>
  <si>
    <t>C(legame_familiare)[T.FAMILIARE]</t>
  </si>
  <si>
    <t>C(legame_familiare)[T.FIGLI]</t>
  </si>
  <si>
    <t>TASSO λ (sin./anno)</t>
  </si>
  <si>
    <t>sinistri per anno-uomo</t>
  </si>
  <si>
    <t>C(settore)[T.BANKING_FINANCE]</t>
  </si>
  <si>
    <t>COSTO/SINISTRO ν (€)</t>
  </si>
  <si>
    <t>euro per sinistro</t>
  </si>
  <si>
    <t>C(settore)[T.CONSUMER_RETAIL_LUXURY]</t>
  </si>
  <si>
    <t>BURNING COST = λ × ν</t>
  </si>
  <si>
    <t>Media portafoglio: 49 €</t>
  </si>
  <si>
    <t>C(settore)[T.ENERGY_UTILITIES]</t>
  </si>
  <si>
    <t>C(settore)[T.FOOD_BEVERAGE]</t>
  </si>
  <si>
    <t>C(settore)[T.INDUSTRIAL_MFG]</t>
  </si>
  <si>
    <t>C(settore)[T.INSURANCE]</t>
  </si>
  <si>
    <t>C(settore)[T.MEDIA_ENT_SPORTS]</t>
  </si>
  <si>
    <t>C(settore)[T.OTHER]</t>
  </si>
  <si>
    <t>C(settore)[T.PHARMA_HEALTHCARE]</t>
  </si>
  <si>
    <t>C(settore)[T.PROFESSIONAL_SERVICES]</t>
  </si>
  <si>
    <t>C(settore)[T.TECH]</t>
  </si>
  <si>
    <t>C(settore)[T.TRANSPORT_LOGISTICS]</t>
  </si>
  <si>
    <t>C(macroarea)[T.NORD-EST]</t>
  </si>
  <si>
    <t>C(macroarea)[T.NORD-OVEST]</t>
  </si>
  <si>
    <t>C(macroarea)[T.STATO ESTERO]</t>
  </si>
  <si>
    <t>C(macroarea)[T.SUD E ISOLE]</t>
  </si>
  <si>
    <t>C(fascia_eta)[T.18-30]:C(sesso)[T.M]</t>
  </si>
  <si>
    <t>C(fascia_eta)[T.31-45]:C(sesso)[T.M]</t>
  </si>
  <si>
    <t>C(fascia_eta)[T.46-60]:C(sesso)[T.M]</t>
  </si>
  <si>
    <t>C(fascia_eta)[T.61-75]:C(sesso)[T.M]</t>
  </si>
  <si>
    <t>C(fascia_eta)[T.75+]:C(sesso)[T.M]</t>
  </si>
  <si>
    <t>composizione_num</t>
  </si>
  <si>
    <t>log_dim_azienda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</si>
</sst>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0.0000"/>
    <numFmt numFmtId="166" formatCode="0.00 €"/>
    <numFmt numFmtId="167" formatCode="0.00 &quot;€/anno-uomo&quot;"/>
  </numFmts>
  <fonts count="12">
    <font>
      <sz val="11.0"/>
      <color theme="1"/>
      <name val="Arial"/>
      <scheme val="minor"/>
    </font>
    <font>
      <b/>
      <color theme="0"/>
      <name val="Arial"/>
      <scheme val="minor"/>
    </font>
    <font>
      <color theme="1"/>
      <name val="Arial"/>
    </font>
    <font>
      <b/>
      <color rgb="FFF2F2F2"/>
      <name val="Arial"/>
    </font>
    <font>
      <sz val="11.0"/>
      <color theme="1"/>
      <name val="Arial"/>
    </font>
    <font>
      <b/>
      <sz val="13.0"/>
      <color rgb="FFFFFFFF"/>
      <name val="Arial"/>
    </font>
    <font/>
    <font>
      <b/>
      <sz val="10.0"/>
      <color rgb="FFFFFFFF"/>
      <name val="Arial"/>
    </font>
    <font>
      <sz val="10.0"/>
      <color rgb="FF000000"/>
      <name val="Arial"/>
    </font>
    <font>
      <sz val="11.0"/>
      <color theme="1"/>
      <name val="Calibri"/>
    </font>
    <font>
      <b/>
      <sz val="10.0"/>
      <color rgb="FF000000"/>
      <name val="Arial"/>
    </font>
    <font>
      <b/>
      <sz val="12.0"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375623"/>
        <bgColor rgb="FF375623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Fill="1" applyFont="1"/>
    <xf borderId="0" fillId="2" fontId="3" numFmtId="0" xfId="0" applyFont="1"/>
    <xf borderId="0" fillId="2" fontId="3" numFmtId="164" xfId="0" applyAlignment="1" applyFont="1" applyNumberFormat="1">
      <alignment horizontal="right" readingOrder="0"/>
    </xf>
    <xf borderId="0" fillId="2" fontId="3" numFmtId="164" xfId="0" applyAlignment="1" applyFont="1" applyNumberFormat="1">
      <alignment horizontal="right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1" fillId="2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2" fontId="7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left" vertical="center"/>
    </xf>
    <xf borderId="5" fillId="4" fontId="8" numFmtId="0" xfId="0" applyAlignment="1" applyBorder="1" applyFill="1" applyFont="1">
      <alignment horizontal="left" vertical="center"/>
    </xf>
    <xf borderId="5" fillId="0" fontId="8" numFmtId="164" xfId="0" applyAlignment="1" applyBorder="1" applyFont="1" applyNumberFormat="1">
      <alignment horizontal="center" vertical="center"/>
    </xf>
    <xf borderId="5" fillId="3" fontId="8" numFmtId="0" xfId="0" applyAlignment="1" applyBorder="1" applyFont="1">
      <alignment horizontal="left" vertical="center"/>
    </xf>
    <xf borderId="5" fillId="5" fontId="8" numFmtId="0" xfId="0" applyAlignment="1" applyBorder="1" applyFill="1" applyFont="1">
      <alignment horizontal="left" vertical="center"/>
    </xf>
    <xf borderId="0" fillId="0" fontId="2" numFmtId="164" xfId="0" applyAlignment="1" applyFont="1" applyNumberFormat="1">
      <alignment horizontal="center"/>
    </xf>
    <xf borderId="5" fillId="3" fontId="8" numFmtId="0" xfId="0" applyAlignment="1" applyBorder="1" applyFont="1">
      <alignment horizontal="left" readingOrder="0" vertical="center"/>
    </xf>
    <xf borderId="6" fillId="6" fontId="9" numFmtId="0" xfId="0" applyBorder="1" applyFill="1" applyFont="1"/>
    <xf borderId="5" fillId="2" fontId="7" numFmtId="0" xfId="0" applyAlignment="1" applyBorder="1" applyFont="1">
      <alignment horizontal="left" vertical="center"/>
    </xf>
    <xf borderId="5" fillId="7" fontId="8" numFmtId="164" xfId="0" applyAlignment="1" applyBorder="1" applyFill="1" applyFont="1" applyNumberFormat="1">
      <alignment horizontal="left" vertical="center"/>
    </xf>
    <xf borderId="5" fillId="6" fontId="10" numFmtId="165" xfId="0" applyAlignment="1" applyBorder="1" applyFont="1" applyNumberFormat="1">
      <alignment horizontal="center" vertical="center"/>
    </xf>
    <xf borderId="5" fillId="6" fontId="8" numFmtId="0" xfId="0" applyAlignment="1" applyBorder="1" applyFont="1">
      <alignment horizontal="left" vertical="center"/>
    </xf>
    <xf borderId="5" fillId="7" fontId="8" numFmtId="2" xfId="0" applyAlignment="1" applyBorder="1" applyFont="1" applyNumberFormat="1">
      <alignment horizontal="left" vertical="center"/>
    </xf>
    <xf borderId="5" fillId="6" fontId="10" numFmtId="166" xfId="0" applyAlignment="1" applyBorder="1" applyFont="1" applyNumberFormat="1">
      <alignment horizontal="center" vertical="center"/>
    </xf>
    <xf borderId="7" fillId="2" fontId="7" numFmtId="0" xfId="0" applyAlignment="1" applyBorder="1" applyFont="1">
      <alignment horizontal="left" vertical="center"/>
    </xf>
    <xf borderId="8" fillId="0" fontId="6" numFmtId="0" xfId="0" applyBorder="1" applyFont="1"/>
    <xf borderId="7" fillId="8" fontId="11" numFmtId="167" xfId="0" applyAlignment="1" applyBorder="1" applyFill="1" applyFont="1" applyNumberFormat="1">
      <alignment horizontal="center" vertical="center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9.88"/>
    <col customWidth="1" min="3" max="3" width="20.25"/>
    <col customWidth="1" min="4" max="4" width="15.38"/>
    <col customWidth="1" min="5" max="5" width="34.63"/>
    <col customWidth="1" min="6" max="6" width="4.75"/>
    <col customWidth="1" min="7" max="7" width="9.13"/>
    <col customWidth="1" min="8" max="8" width="58.63"/>
    <col customWidth="1" min="9" max="10" width="14.75"/>
    <col customWidth="1" min="11" max="11" width="15.38"/>
    <col customWidth="1" min="12" max="12" width="7.63"/>
    <col customWidth="1" min="13" max="13" width="58.63"/>
    <col customWidth="1" min="14" max="15" width="14.75"/>
  </cols>
  <sheetData>
    <row r="1">
      <c r="A1" s="1" t="s">
        <v>0</v>
      </c>
      <c r="F1" s="2"/>
      <c r="G1" s="3" t="s">
        <v>1</v>
      </c>
      <c r="H1" s="3" t="s">
        <v>2</v>
      </c>
      <c r="I1" s="4" t="s">
        <v>3</v>
      </c>
      <c r="J1" s="5" t="s">
        <v>4</v>
      </c>
      <c r="K1" s="3"/>
      <c r="L1" s="3" t="s">
        <v>1</v>
      </c>
      <c r="M1" s="3" t="s">
        <v>2</v>
      </c>
      <c r="N1" s="4" t="s">
        <v>3</v>
      </c>
      <c r="O1" s="5" t="s">
        <v>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5</v>
      </c>
      <c r="B2" s="7"/>
      <c r="C2" s="7"/>
      <c r="D2" s="7"/>
      <c r="E2" s="7"/>
      <c r="F2" s="2"/>
      <c r="G2" s="8" t="s">
        <v>6</v>
      </c>
      <c r="H2" s="8" t="s">
        <v>7</v>
      </c>
      <c r="I2" s="9">
        <f t="shared" ref="I2:I39" si="1">LN(J2)</f>
        <v>0.01224256722</v>
      </c>
      <c r="J2" s="9">
        <v>1.012317814206588</v>
      </c>
      <c r="K2" s="6"/>
      <c r="L2" s="8" t="s">
        <v>8</v>
      </c>
      <c r="M2" s="8" t="s">
        <v>7</v>
      </c>
      <c r="N2" s="9">
        <v>4.120088162204167</v>
      </c>
      <c r="O2" s="9">
        <v>61.56466970215735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F3" s="2"/>
      <c r="G3" s="8" t="s">
        <v>6</v>
      </c>
      <c r="H3" s="8" t="s">
        <v>9</v>
      </c>
      <c r="I3" s="9">
        <f t="shared" si="1"/>
        <v>0.1070247358</v>
      </c>
      <c r="J3" s="9">
        <v>1.112961784171235</v>
      </c>
      <c r="K3" s="6"/>
      <c r="L3" s="8" t="s">
        <v>8</v>
      </c>
      <c r="M3" s="8" t="s">
        <v>9</v>
      </c>
      <c r="N3" s="9">
        <v>0.072159298076419</v>
      </c>
      <c r="O3" s="9">
        <v>1.074826548228822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0" t="s">
        <v>10</v>
      </c>
      <c r="B4" s="11"/>
      <c r="C4" s="11"/>
      <c r="D4" s="11"/>
      <c r="E4" s="12"/>
      <c r="F4" s="2"/>
      <c r="G4" s="8" t="s">
        <v>6</v>
      </c>
      <c r="H4" s="8" t="s">
        <v>11</v>
      </c>
      <c r="I4" s="9">
        <f t="shared" si="1"/>
        <v>0.340845086</v>
      </c>
      <c r="J4" s="9">
        <v>1.406135393892588</v>
      </c>
      <c r="K4" s="6"/>
      <c r="L4" s="8" t="s">
        <v>8</v>
      </c>
      <c r="M4" s="8" t="s">
        <v>11</v>
      </c>
      <c r="N4" s="9">
        <v>0.1268666251250941</v>
      </c>
      <c r="O4" s="9">
        <v>1.13526559177721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3" t="s">
        <v>12</v>
      </c>
      <c r="B5" s="13" t="s">
        <v>13</v>
      </c>
      <c r="C5" s="13" t="s">
        <v>14</v>
      </c>
      <c r="D5" s="13" t="s">
        <v>15</v>
      </c>
      <c r="E5" s="13" t="s">
        <v>16</v>
      </c>
      <c r="F5" s="6"/>
      <c r="G5" s="8" t="s">
        <v>6</v>
      </c>
      <c r="H5" s="8" t="s">
        <v>17</v>
      </c>
      <c r="I5" s="9">
        <f t="shared" si="1"/>
        <v>0.2581102572</v>
      </c>
      <c r="J5" s="9">
        <v>1.294481536618329</v>
      </c>
      <c r="K5" s="6"/>
      <c r="L5" s="8" t="s">
        <v>8</v>
      </c>
      <c r="M5" s="8" t="s">
        <v>17</v>
      </c>
      <c r="N5" s="9">
        <v>0.1077607266003042</v>
      </c>
      <c r="O5" s="9">
        <v>1.113781215283059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4" t="s">
        <v>18</v>
      </c>
      <c r="B6" s="15" t="s">
        <v>19</v>
      </c>
      <c r="C6" s="16">
        <v>1.0123</v>
      </c>
      <c r="D6" s="16">
        <v>61.5647</v>
      </c>
      <c r="E6" s="17" t="s">
        <v>20</v>
      </c>
      <c r="F6" s="6"/>
      <c r="G6" s="8" t="s">
        <v>6</v>
      </c>
      <c r="H6" s="8" t="s">
        <v>21</v>
      </c>
      <c r="I6" s="9">
        <f t="shared" si="1"/>
        <v>0.2439569644</v>
      </c>
      <c r="J6" s="9">
        <v>1.276289403364858</v>
      </c>
      <c r="K6" s="6"/>
      <c r="L6" s="8" t="s">
        <v>8</v>
      </c>
      <c r="M6" s="8" t="s">
        <v>21</v>
      </c>
      <c r="N6" s="9">
        <v>0.0976178250396696</v>
      </c>
      <c r="O6" s="9">
        <v>1.102541340887707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4" t="s">
        <v>22</v>
      </c>
      <c r="B7" s="18" t="s">
        <v>23</v>
      </c>
      <c r="C7" s="16">
        <f>J5</f>
        <v>1.294481537</v>
      </c>
      <c r="D7" s="16">
        <v>1.1138</v>
      </c>
      <c r="E7" s="17" t="s">
        <v>24</v>
      </c>
      <c r="F7" s="6"/>
      <c r="G7" s="8" t="s">
        <v>6</v>
      </c>
      <c r="H7" s="8" t="s">
        <v>25</v>
      </c>
      <c r="I7" s="9">
        <f t="shared" si="1"/>
        <v>0.5752138074</v>
      </c>
      <c r="J7" s="9">
        <v>1.77751053116341</v>
      </c>
      <c r="K7" s="6"/>
      <c r="L7" s="8" t="s">
        <v>8</v>
      </c>
      <c r="M7" s="8" t="s">
        <v>25</v>
      </c>
      <c r="N7" s="9">
        <v>0.1008171368131372</v>
      </c>
      <c r="O7" s="9">
        <v>1.106074362986393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4" t="s">
        <v>26</v>
      </c>
      <c r="B8" s="18" t="s">
        <v>27</v>
      </c>
      <c r="C8" s="16">
        <v>2.0889</v>
      </c>
      <c r="D8" s="16">
        <v>1.3232</v>
      </c>
      <c r="E8" s="17" t="s">
        <v>28</v>
      </c>
      <c r="F8" s="6"/>
      <c r="G8" s="8" t="s">
        <v>6</v>
      </c>
      <c r="H8" s="8" t="s">
        <v>29</v>
      </c>
      <c r="I8" s="9">
        <f t="shared" si="1"/>
        <v>0.004672766652</v>
      </c>
      <c r="J8" s="9">
        <v>1.004683701050425</v>
      </c>
      <c r="K8" s="6"/>
      <c r="L8" s="8" t="s">
        <v>8</v>
      </c>
      <c r="M8" s="8" t="s">
        <v>29</v>
      </c>
      <c r="N8" s="9">
        <v>0.0352817624910729</v>
      </c>
      <c r="O8" s="9">
        <v>1.035911548701417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4" t="s">
        <v>30</v>
      </c>
      <c r="B9" s="18" t="s">
        <v>31</v>
      </c>
      <c r="C9" s="16">
        <v>1.0</v>
      </c>
      <c r="D9" s="16">
        <v>1.0</v>
      </c>
      <c r="E9" s="17" t="s">
        <v>32</v>
      </c>
      <c r="F9" s="6"/>
      <c r="G9" s="8" t="s">
        <v>6</v>
      </c>
      <c r="H9" s="8" t="s">
        <v>33</v>
      </c>
      <c r="I9" s="9">
        <f t="shared" si="1"/>
        <v>-0.9213568928</v>
      </c>
      <c r="J9" s="9">
        <v>0.3979786601521685</v>
      </c>
      <c r="K9" s="6"/>
      <c r="L9" s="8" t="s">
        <v>8</v>
      </c>
      <c r="M9" s="8" t="s">
        <v>33</v>
      </c>
      <c r="N9" s="9">
        <v>-0.3203965536240992</v>
      </c>
      <c r="O9" s="9">
        <v>0.7258611371290592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4" t="s">
        <v>34</v>
      </c>
      <c r="B10" s="18" t="s">
        <v>35</v>
      </c>
      <c r="C10" s="16">
        <v>1.29</v>
      </c>
      <c r="D10" s="16">
        <v>1.122</v>
      </c>
      <c r="E10" s="17" t="s">
        <v>36</v>
      </c>
      <c r="F10" s="6"/>
      <c r="G10" s="8" t="s">
        <v>6</v>
      </c>
      <c r="H10" s="8" t="s">
        <v>37</v>
      </c>
      <c r="I10" s="9">
        <f t="shared" si="1"/>
        <v>0.6312299906</v>
      </c>
      <c r="J10" s="9">
        <v>1.879921443483365</v>
      </c>
      <c r="K10" s="6"/>
      <c r="L10" s="8" t="s">
        <v>8</v>
      </c>
      <c r="M10" s="8" t="s">
        <v>37</v>
      </c>
      <c r="N10" s="9">
        <v>0.1641113052378416</v>
      </c>
      <c r="O10" s="9">
        <v>1.178345463815926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4" t="s">
        <v>38</v>
      </c>
      <c r="B11" s="18" t="s">
        <v>39</v>
      </c>
      <c r="C11" s="19">
        <v>1.004683701050425</v>
      </c>
      <c r="D11" s="19">
        <v>1.035911548701417</v>
      </c>
      <c r="E11" s="17" t="s">
        <v>40</v>
      </c>
      <c r="F11" s="6"/>
      <c r="G11" s="8" t="s">
        <v>6</v>
      </c>
      <c r="H11" s="8" t="s">
        <v>41</v>
      </c>
      <c r="I11" s="9">
        <f t="shared" si="1"/>
        <v>0.7366412503</v>
      </c>
      <c r="J11" s="9">
        <v>2.08890760074138</v>
      </c>
      <c r="K11" s="6"/>
      <c r="L11" s="8" t="s">
        <v>8</v>
      </c>
      <c r="M11" s="8" t="s">
        <v>41</v>
      </c>
      <c r="N11" s="9">
        <v>0.2800546294062357</v>
      </c>
      <c r="O11" s="9">
        <v>1.323202096107849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4" t="s">
        <v>42</v>
      </c>
      <c r="B12" s="18" t="s">
        <v>43</v>
      </c>
      <c r="C12" s="16">
        <v>0.9177</v>
      </c>
      <c r="D12" s="16">
        <v>1.0716</v>
      </c>
      <c r="E12" s="17" t="s">
        <v>44</v>
      </c>
      <c r="F12" s="6"/>
      <c r="G12" s="8" t="s">
        <v>6</v>
      </c>
      <c r="H12" s="8" t="s">
        <v>45</v>
      </c>
      <c r="I12" s="9">
        <f t="shared" si="1"/>
        <v>1.222458273</v>
      </c>
      <c r="J12" s="9">
        <v>3.395524607977197</v>
      </c>
      <c r="K12" s="6"/>
      <c r="L12" s="8" t="s">
        <v>8</v>
      </c>
      <c r="M12" s="8" t="s">
        <v>45</v>
      </c>
      <c r="N12" s="9">
        <v>0.1966760113761927</v>
      </c>
      <c r="O12" s="9">
        <v>1.21734956939557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4" t="s">
        <v>46</v>
      </c>
      <c r="B13" s="18" t="s">
        <v>47</v>
      </c>
      <c r="C13" s="16">
        <v>0.595</v>
      </c>
      <c r="D13" s="16">
        <v>0.9867</v>
      </c>
      <c r="E13" s="20" t="s">
        <v>40</v>
      </c>
      <c r="F13" s="6"/>
      <c r="G13" s="8" t="s">
        <v>6</v>
      </c>
      <c r="H13" s="8" t="s">
        <v>48</v>
      </c>
      <c r="I13" s="9">
        <f t="shared" si="1"/>
        <v>-0.4073386761</v>
      </c>
      <c r="J13" s="9">
        <v>0.6654187906663153</v>
      </c>
      <c r="K13" s="6"/>
      <c r="L13" s="8" t="s">
        <v>8</v>
      </c>
      <c r="M13" s="8" t="s">
        <v>48</v>
      </c>
      <c r="N13" s="9">
        <v>-0.0347100512856044</v>
      </c>
      <c r="O13" s="9">
        <v>0.9658854328998948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4" t="s">
        <v>49</v>
      </c>
      <c r="B14" s="18">
        <v>3.0</v>
      </c>
      <c r="C14" s="16">
        <v>0.8718</v>
      </c>
      <c r="D14" s="16">
        <v>0.9765</v>
      </c>
      <c r="E14" s="17" t="s">
        <v>50</v>
      </c>
      <c r="F14" s="6"/>
      <c r="G14" s="8" t="s">
        <v>6</v>
      </c>
      <c r="H14" s="8" t="s">
        <v>51</v>
      </c>
      <c r="I14" s="9">
        <f t="shared" si="1"/>
        <v>-0.2304304391</v>
      </c>
      <c r="J14" s="9">
        <v>0.794191677750057</v>
      </c>
      <c r="K14" s="6"/>
      <c r="L14" s="8" t="s">
        <v>8</v>
      </c>
      <c r="M14" s="8" t="s">
        <v>51</v>
      </c>
      <c r="N14" s="9">
        <v>-0.0281194881102237</v>
      </c>
      <c r="O14" s="9">
        <v>0.9722721848942107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4" t="s">
        <v>52</v>
      </c>
      <c r="B15" s="18">
        <v>200.0</v>
      </c>
      <c r="C15" s="16">
        <v>0.6662</v>
      </c>
      <c r="D15" s="16">
        <v>1.0807</v>
      </c>
      <c r="E15" s="17" t="s">
        <v>53</v>
      </c>
      <c r="F15" s="6"/>
      <c r="G15" s="8" t="s">
        <v>6</v>
      </c>
      <c r="H15" s="8" t="s">
        <v>54</v>
      </c>
      <c r="I15" s="9">
        <f t="shared" si="1"/>
        <v>-0.7606721771</v>
      </c>
      <c r="J15" s="9">
        <v>0.4673521779776093</v>
      </c>
      <c r="K15" s="6"/>
      <c r="L15" s="8" t="s">
        <v>8</v>
      </c>
      <c r="M15" s="8" t="s">
        <v>54</v>
      </c>
      <c r="N15" s="9">
        <v>-0.0575484291545568</v>
      </c>
      <c r="O15" s="9">
        <v>0.944076168468618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1"/>
      <c r="B16" s="21"/>
      <c r="C16" s="21"/>
      <c r="D16" s="21"/>
      <c r="E16" s="21"/>
      <c r="F16" s="6"/>
      <c r="G16" s="8" t="s">
        <v>6</v>
      </c>
      <c r="H16" s="8" t="s">
        <v>55</v>
      </c>
      <c r="I16" s="9">
        <f t="shared" si="1"/>
        <v>-0.6700869007</v>
      </c>
      <c r="J16" s="9">
        <v>0.5116641118880422</v>
      </c>
      <c r="K16" s="6"/>
      <c r="L16" s="8" t="s">
        <v>8</v>
      </c>
      <c r="M16" s="8" t="s">
        <v>55</v>
      </c>
      <c r="N16" s="9">
        <v>0.0259289792239812</v>
      </c>
      <c r="O16" s="9">
        <v>1.026268059531167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2" t="s">
        <v>56</v>
      </c>
      <c r="B17" s="23">
        <f>PRODUCT(C6:C15)</f>
        <v>1.125073783</v>
      </c>
      <c r="C17" s="24"/>
      <c r="D17" s="25"/>
      <c r="E17" s="15" t="s">
        <v>57</v>
      </c>
      <c r="F17" s="6"/>
      <c r="G17" s="8" t="s">
        <v>6</v>
      </c>
      <c r="H17" s="8" t="s">
        <v>58</v>
      </c>
      <c r="I17" s="9">
        <f t="shared" si="1"/>
        <v>0.2546162408</v>
      </c>
      <c r="J17" s="9">
        <v>1.289966489310878</v>
      </c>
      <c r="K17" s="6"/>
      <c r="L17" s="8" t="s">
        <v>8</v>
      </c>
      <c r="M17" s="8" t="s">
        <v>58</v>
      </c>
      <c r="N17" s="9">
        <v>0.1151500932003808</v>
      </c>
      <c r="O17" s="9">
        <v>1.122041835784003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22" t="s">
        <v>59</v>
      </c>
      <c r="B18" s="26">
        <f>PRODUCT(D6:D15)</f>
        <v>117.6725696</v>
      </c>
      <c r="C18" s="25"/>
      <c r="D18" s="27"/>
      <c r="E18" s="15" t="s">
        <v>60</v>
      </c>
      <c r="F18" s="6"/>
      <c r="G18" s="8" t="s">
        <v>6</v>
      </c>
      <c r="H18" s="8" t="s">
        <v>61</v>
      </c>
      <c r="I18" s="9">
        <f t="shared" si="1"/>
        <v>-0.662550704</v>
      </c>
      <c r="J18" s="9">
        <v>0.5155346796609002</v>
      </c>
      <c r="K18" s="6"/>
      <c r="L18" s="8" t="s">
        <v>8</v>
      </c>
      <c r="M18" s="8" t="s">
        <v>61</v>
      </c>
      <c r="N18" s="9">
        <v>0.066339373836133</v>
      </c>
      <c r="O18" s="9">
        <v>1.06858930688811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8" t="s">
        <v>62</v>
      </c>
      <c r="B19" s="29"/>
      <c r="C19" s="30">
        <f>B17*B18</f>
        <v>132.390323</v>
      </c>
      <c r="D19" s="29"/>
      <c r="E19" s="15" t="s">
        <v>63</v>
      </c>
      <c r="F19" s="6"/>
      <c r="G19" s="8" t="s">
        <v>6</v>
      </c>
      <c r="H19" s="8" t="s">
        <v>64</v>
      </c>
      <c r="I19" s="9">
        <f t="shared" si="1"/>
        <v>-0.2374643718</v>
      </c>
      <c r="J19" s="9">
        <v>0.788624987806636</v>
      </c>
      <c r="K19" s="6"/>
      <c r="L19" s="8" t="s">
        <v>8</v>
      </c>
      <c r="M19" s="8" t="s">
        <v>64</v>
      </c>
      <c r="N19" s="9">
        <v>-0.1262114809343818</v>
      </c>
      <c r="O19" s="9">
        <v>0.8814284217652167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F20" s="6"/>
      <c r="G20" s="8" t="s">
        <v>6</v>
      </c>
      <c r="H20" s="8" t="s">
        <v>65</v>
      </c>
      <c r="I20" s="9">
        <f t="shared" si="1"/>
        <v>0.01446215505</v>
      </c>
      <c r="J20" s="9">
        <v>1.014567237978996</v>
      </c>
      <c r="K20" s="6"/>
      <c r="L20" s="8" t="s">
        <v>8</v>
      </c>
      <c r="M20" s="8" t="s">
        <v>65</v>
      </c>
      <c r="N20" s="9">
        <v>-0.0037129901469806</v>
      </c>
      <c r="O20" s="9">
        <v>0.9962938944774516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8" t="s">
        <v>6</v>
      </c>
      <c r="H21" s="8" t="s">
        <v>66</v>
      </c>
      <c r="I21" s="9">
        <f t="shared" si="1"/>
        <v>-0.01097942991</v>
      </c>
      <c r="J21" s="9">
        <v>0.9890806240394084</v>
      </c>
      <c r="K21" s="6"/>
      <c r="L21" s="8" t="s">
        <v>8</v>
      </c>
      <c r="M21" s="8" t="s">
        <v>66</v>
      </c>
      <c r="N21" s="9">
        <v>0.0063299844997001</v>
      </c>
      <c r="O21" s="9">
        <v>1.006350061190943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8" t="s">
        <v>6</v>
      </c>
      <c r="H22" s="8" t="s">
        <v>67</v>
      </c>
      <c r="I22" s="9">
        <f t="shared" si="1"/>
        <v>0.4380158138</v>
      </c>
      <c r="J22" s="9">
        <v>1.549629412713278</v>
      </c>
      <c r="K22" s="6"/>
      <c r="L22" s="8" t="s">
        <v>8</v>
      </c>
      <c r="M22" s="8" t="s">
        <v>67</v>
      </c>
      <c r="N22" s="9">
        <v>0.0817605041019599</v>
      </c>
      <c r="O22" s="9">
        <v>1.085195878743048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7"/>
      <c r="F23" s="6"/>
      <c r="G23" s="8" t="s">
        <v>6</v>
      </c>
      <c r="H23" s="8" t="s">
        <v>68</v>
      </c>
      <c r="I23" s="9">
        <f t="shared" si="1"/>
        <v>-0.7539404166</v>
      </c>
      <c r="J23" s="9">
        <v>0.4705088941019097</v>
      </c>
      <c r="K23" s="6"/>
      <c r="L23" s="8" t="s">
        <v>8</v>
      </c>
      <c r="M23" s="8" t="s">
        <v>68</v>
      </c>
      <c r="N23" s="9">
        <v>0.1283736937314492</v>
      </c>
      <c r="O23" s="9">
        <v>1.136977804797626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8" t="s">
        <v>6</v>
      </c>
      <c r="H24" s="8" t="s">
        <v>69</v>
      </c>
      <c r="I24" s="9">
        <f t="shared" si="1"/>
        <v>-0.6874036305</v>
      </c>
      <c r="J24" s="9">
        <v>0.5028800379355832</v>
      </c>
      <c r="K24" s="6"/>
      <c r="L24" s="8" t="s">
        <v>8</v>
      </c>
      <c r="M24" s="8" t="s">
        <v>69</v>
      </c>
      <c r="N24" s="9">
        <v>0.1111762962684611</v>
      </c>
      <c r="O24" s="9">
        <v>1.117591916772481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8" t="s">
        <v>6</v>
      </c>
      <c r="H25" s="8" t="s">
        <v>70</v>
      </c>
      <c r="I25" s="9">
        <f t="shared" si="1"/>
        <v>-0.1802812119</v>
      </c>
      <c r="J25" s="9">
        <v>0.8350353565240735</v>
      </c>
      <c r="K25" s="6"/>
      <c r="L25" s="8" t="s">
        <v>8</v>
      </c>
      <c r="M25" s="8" t="s">
        <v>70</v>
      </c>
      <c r="N25" s="9">
        <v>0.045032873237099</v>
      </c>
      <c r="O25" s="9">
        <v>1.046062246795769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8" t="s">
        <v>6</v>
      </c>
      <c r="H26" s="8" t="s">
        <v>71</v>
      </c>
      <c r="I26" s="9">
        <f t="shared" si="1"/>
        <v>-0.328161539</v>
      </c>
      <c r="J26" s="9">
        <v>0.7202466623789648</v>
      </c>
      <c r="K26" s="6"/>
      <c r="L26" s="8" t="s">
        <v>8</v>
      </c>
      <c r="M26" s="8" t="s">
        <v>71</v>
      </c>
      <c r="N26" s="9">
        <v>0.3474366551382816</v>
      </c>
      <c r="O26" s="9">
        <v>1.415434647262855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8" t="s">
        <v>6</v>
      </c>
      <c r="H27" s="8" t="s">
        <v>72</v>
      </c>
      <c r="I27" s="9">
        <f t="shared" si="1"/>
        <v>0.00590171526</v>
      </c>
      <c r="J27" s="9">
        <v>1.005919164691417</v>
      </c>
      <c r="K27" s="6"/>
      <c r="L27" s="8" t="s">
        <v>8</v>
      </c>
      <c r="M27" s="8" t="s">
        <v>72</v>
      </c>
      <c r="N27" s="9">
        <v>0.0753370255811664</v>
      </c>
      <c r="O27" s="9">
        <v>1.078247486640296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8" t="s">
        <v>6</v>
      </c>
      <c r="H28" s="8" t="s">
        <v>73</v>
      </c>
      <c r="I28" s="9">
        <f t="shared" si="1"/>
        <v>-1.218876525</v>
      </c>
      <c r="J28" s="9">
        <v>0.2955620370525326</v>
      </c>
      <c r="K28" s="6"/>
      <c r="L28" s="8" t="s">
        <v>8</v>
      </c>
      <c r="M28" s="8" t="s">
        <v>73</v>
      </c>
      <c r="N28" s="9">
        <v>-0.449442173306532</v>
      </c>
      <c r="O28" s="9">
        <v>0.6379839368492772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8" t="s">
        <v>6</v>
      </c>
      <c r="H29" s="8" t="s">
        <v>74</v>
      </c>
      <c r="I29" s="9">
        <f t="shared" si="1"/>
        <v>-0.5453052198</v>
      </c>
      <c r="J29" s="9">
        <v>0.5796648311815336</v>
      </c>
      <c r="K29" s="6"/>
      <c r="L29" s="8" t="s">
        <v>8</v>
      </c>
      <c r="M29" s="8" t="s">
        <v>74</v>
      </c>
      <c r="N29" s="9">
        <v>0.0609538771366791</v>
      </c>
      <c r="O29" s="9">
        <v>1.062849891376397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8" t="s">
        <v>6</v>
      </c>
      <c r="H30" s="8" t="s">
        <v>75</v>
      </c>
      <c r="I30" s="9">
        <f t="shared" si="1"/>
        <v>-0.08587553722</v>
      </c>
      <c r="J30" s="9">
        <v>0.917708444659636</v>
      </c>
      <c r="K30" s="6"/>
      <c r="L30" s="8" t="s">
        <v>8</v>
      </c>
      <c r="M30" s="8" t="s">
        <v>75</v>
      </c>
      <c r="N30" s="9">
        <v>0.0691719574162886</v>
      </c>
      <c r="O30" s="9">
        <v>1.071620466392335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8" t="s">
        <v>6</v>
      </c>
      <c r="H31" s="8" t="s">
        <v>76</v>
      </c>
      <c r="I31" s="9">
        <f t="shared" si="1"/>
        <v>-0.5862740681</v>
      </c>
      <c r="J31" s="9">
        <v>0.5563965229854974</v>
      </c>
      <c r="K31" s="6"/>
      <c r="L31" s="8" t="s">
        <v>8</v>
      </c>
      <c r="M31" s="8" t="s">
        <v>76</v>
      </c>
      <c r="N31" s="9">
        <v>-0.0072918900858709</v>
      </c>
      <c r="O31" s="9">
        <v>0.9927346312419528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8" t="s">
        <v>6</v>
      </c>
      <c r="H32" s="8" t="s">
        <v>77</v>
      </c>
      <c r="I32" s="9">
        <f t="shared" si="1"/>
        <v>-0.1098856141</v>
      </c>
      <c r="J32" s="9">
        <v>0.895936611988394</v>
      </c>
      <c r="K32" s="6"/>
      <c r="L32" s="8" t="s">
        <v>8</v>
      </c>
      <c r="M32" s="8" t="s">
        <v>77</v>
      </c>
      <c r="N32" s="9">
        <v>-0.0589426325778162</v>
      </c>
      <c r="O32" s="9">
        <v>0.9427608513655852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8" t="s">
        <v>6</v>
      </c>
      <c r="H33" s="8" t="s">
        <v>78</v>
      </c>
      <c r="I33" s="9">
        <f t="shared" si="1"/>
        <v>-0.5303025368</v>
      </c>
      <c r="J33" s="9">
        <v>0.5884269219462442</v>
      </c>
      <c r="K33" s="6"/>
      <c r="L33" s="8" t="s">
        <v>8</v>
      </c>
      <c r="M33" s="8" t="s">
        <v>78</v>
      </c>
      <c r="N33" s="9">
        <v>-0.0430168206904176</v>
      </c>
      <c r="O33" s="9">
        <v>0.9578952774716036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8" t="s">
        <v>6</v>
      </c>
      <c r="H34" s="8" t="s">
        <v>79</v>
      </c>
      <c r="I34" s="9">
        <f t="shared" si="1"/>
        <v>-0.8898384941</v>
      </c>
      <c r="J34" s="9">
        <v>0.410722081440963</v>
      </c>
      <c r="K34" s="6"/>
      <c r="L34" s="8" t="s">
        <v>8</v>
      </c>
      <c r="M34" s="8" t="s">
        <v>79</v>
      </c>
      <c r="N34" s="9">
        <v>-0.041950046419456</v>
      </c>
      <c r="O34" s="9">
        <v>0.958917680747682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8" t="s">
        <v>6</v>
      </c>
      <c r="H35" s="8" t="s">
        <v>80</v>
      </c>
      <c r="I35" s="9">
        <f t="shared" si="1"/>
        <v>-0.5191990095</v>
      </c>
      <c r="J35" s="9">
        <v>0.5949969440490924</v>
      </c>
      <c r="K35" s="6"/>
      <c r="L35" s="8" t="s">
        <v>8</v>
      </c>
      <c r="M35" s="8" t="s">
        <v>80</v>
      </c>
      <c r="N35" s="9">
        <v>-0.0134096893718752</v>
      </c>
      <c r="O35" s="9">
        <v>0.986679819968468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8" t="s">
        <v>6</v>
      </c>
      <c r="H36" s="8" t="s">
        <v>81</v>
      </c>
      <c r="I36" s="9">
        <f t="shared" si="1"/>
        <v>-0.2867485776</v>
      </c>
      <c r="J36" s="9">
        <v>0.7507004479925667</v>
      </c>
      <c r="K36" s="6"/>
      <c r="L36" s="8" t="s">
        <v>8</v>
      </c>
      <c r="M36" s="8" t="s">
        <v>81</v>
      </c>
      <c r="N36" s="9">
        <v>-0.0169479405127695</v>
      </c>
      <c r="O36" s="9">
        <v>0.983194867923282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8" t="s">
        <v>6</v>
      </c>
      <c r="H37" s="8" t="s">
        <v>82</v>
      </c>
      <c r="I37" s="9">
        <f t="shared" si="1"/>
        <v>-0.06331824374</v>
      </c>
      <c r="J37" s="9">
        <v>0.9386447083519364</v>
      </c>
      <c r="K37" s="6"/>
      <c r="L37" s="8" t="s">
        <v>8</v>
      </c>
      <c r="M37" s="8" t="s">
        <v>82</v>
      </c>
      <c r="N37" s="9">
        <v>-0.1703459610189044</v>
      </c>
      <c r="O37" s="9">
        <v>0.8433729919397086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8" t="s">
        <v>6</v>
      </c>
      <c r="H38" s="8" t="s">
        <v>83</v>
      </c>
      <c r="I38" s="9">
        <f t="shared" si="1"/>
        <v>-0.04572393538</v>
      </c>
      <c r="J38" s="9">
        <v>0.9553056518793877</v>
      </c>
      <c r="K38" s="6"/>
      <c r="L38" s="8" t="s">
        <v>8</v>
      </c>
      <c r="M38" s="8" t="s">
        <v>83</v>
      </c>
      <c r="N38" s="9">
        <v>-0.0079184000894967</v>
      </c>
      <c r="O38" s="9">
        <v>0.9921128678553623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8" t="s">
        <v>6</v>
      </c>
      <c r="H39" s="8" t="s">
        <v>84</v>
      </c>
      <c r="I39" s="9">
        <f t="shared" si="1"/>
        <v>-0.07666673444</v>
      </c>
      <c r="J39" s="9">
        <v>0.9261984722258344</v>
      </c>
      <c r="K39" s="6"/>
      <c r="L39" s="8" t="s">
        <v>8</v>
      </c>
      <c r="M39" s="8" t="s">
        <v>84</v>
      </c>
      <c r="N39" s="9">
        <v>0.0146494813338763</v>
      </c>
      <c r="O39" s="9">
        <v>1.014757310891148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31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31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31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31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31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31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31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31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31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31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31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9"/>
      <c r="D51" s="9"/>
      <c r="E51" s="6"/>
      <c r="F51" s="6"/>
      <c r="G51" s="6"/>
      <c r="H51" s="9"/>
      <c r="I51" s="9"/>
      <c r="J51" s="31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9"/>
      <c r="D52" s="9"/>
      <c r="E52" s="6"/>
      <c r="F52" s="6"/>
      <c r="G52" s="6"/>
      <c r="H52" s="9"/>
      <c r="I52" s="9"/>
      <c r="J52" s="31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9"/>
      <c r="D53" s="9"/>
      <c r="E53" s="6"/>
      <c r="F53" s="6"/>
      <c r="G53" s="6"/>
      <c r="H53" s="9"/>
      <c r="I53" s="9"/>
      <c r="J53" s="31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9"/>
      <c r="D54" s="9"/>
      <c r="E54" s="6"/>
      <c r="F54" s="6"/>
      <c r="G54" s="6"/>
      <c r="H54" s="9"/>
      <c r="I54" s="9"/>
      <c r="J54" s="31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9"/>
      <c r="D55" s="9"/>
      <c r="E55" s="6"/>
      <c r="F55" s="6"/>
      <c r="G55" s="6"/>
      <c r="H55" s="9"/>
      <c r="I55" s="9"/>
      <c r="J55" s="31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9"/>
      <c r="D56" s="9"/>
      <c r="E56" s="6"/>
      <c r="F56" s="6"/>
      <c r="G56" s="6"/>
      <c r="H56" s="9"/>
      <c r="I56" s="9"/>
      <c r="J56" s="31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9"/>
      <c r="D57" s="9"/>
      <c r="E57" s="6"/>
      <c r="F57" s="6"/>
      <c r="G57" s="6"/>
      <c r="H57" s="9"/>
      <c r="I57" s="9"/>
      <c r="J57" s="31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9"/>
      <c r="D58" s="9"/>
      <c r="E58" s="6"/>
      <c r="F58" s="6"/>
      <c r="G58" s="6"/>
      <c r="H58" s="9"/>
      <c r="I58" s="9"/>
      <c r="J58" s="31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9"/>
      <c r="D59" s="9"/>
      <c r="E59" s="6"/>
      <c r="F59" s="6"/>
      <c r="G59" s="6"/>
      <c r="H59" s="9"/>
      <c r="I59" s="9"/>
      <c r="J59" s="31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9"/>
      <c r="D60" s="9"/>
      <c r="E60" s="6"/>
      <c r="F60" s="6"/>
      <c r="G60" s="6"/>
      <c r="H60" s="9"/>
      <c r="I60" s="9"/>
      <c r="J60" s="31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9"/>
      <c r="D61" s="9"/>
      <c r="E61" s="6"/>
      <c r="F61" s="6"/>
      <c r="G61" s="6"/>
      <c r="H61" s="9"/>
      <c r="I61" s="9"/>
      <c r="J61" s="31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9"/>
      <c r="D62" s="9"/>
      <c r="E62" s="6"/>
      <c r="F62" s="6"/>
      <c r="G62" s="6"/>
      <c r="H62" s="9"/>
      <c r="I62" s="9"/>
      <c r="J62" s="31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9"/>
      <c r="D63" s="9"/>
      <c r="E63" s="6"/>
      <c r="F63" s="6"/>
      <c r="G63" s="6"/>
      <c r="H63" s="9"/>
      <c r="I63" s="9"/>
      <c r="J63" s="31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9"/>
      <c r="D64" s="9"/>
      <c r="E64" s="6"/>
      <c r="F64" s="6"/>
      <c r="G64" s="6"/>
      <c r="H64" s="9"/>
      <c r="I64" s="9"/>
      <c r="J64" s="31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9"/>
      <c r="D65" s="9"/>
      <c r="E65" s="6"/>
      <c r="F65" s="6"/>
      <c r="G65" s="6"/>
      <c r="H65" s="9"/>
      <c r="I65" s="9"/>
      <c r="J65" s="31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9"/>
      <c r="D66" s="9"/>
      <c r="E66" s="6"/>
      <c r="F66" s="6"/>
      <c r="G66" s="6"/>
      <c r="H66" s="9"/>
      <c r="I66" s="9"/>
      <c r="J66" s="31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9"/>
      <c r="D67" s="9"/>
      <c r="E67" s="6"/>
      <c r="F67" s="6"/>
      <c r="G67" s="6"/>
      <c r="H67" s="9"/>
      <c r="I67" s="9"/>
      <c r="J67" s="31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9"/>
      <c r="D68" s="9"/>
      <c r="E68" s="6"/>
      <c r="F68" s="6"/>
      <c r="G68" s="6"/>
      <c r="H68" s="9"/>
      <c r="I68" s="9"/>
      <c r="J68" s="31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9"/>
      <c r="D69" s="9"/>
      <c r="E69" s="6"/>
      <c r="F69" s="6"/>
      <c r="G69" s="6"/>
      <c r="H69" s="9"/>
      <c r="I69" s="9"/>
      <c r="J69" s="31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9"/>
      <c r="D70" s="9"/>
      <c r="E70" s="6"/>
      <c r="F70" s="6"/>
      <c r="G70" s="6"/>
      <c r="H70" s="9"/>
      <c r="I70" s="9"/>
      <c r="J70" s="31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9"/>
      <c r="D71" s="9"/>
      <c r="E71" s="6"/>
      <c r="F71" s="6"/>
      <c r="G71" s="6"/>
      <c r="H71" s="9"/>
      <c r="I71" s="9"/>
      <c r="J71" s="31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9"/>
      <c r="D72" s="9"/>
      <c r="E72" s="6"/>
      <c r="F72" s="6"/>
      <c r="G72" s="6"/>
      <c r="H72" s="9"/>
      <c r="I72" s="9"/>
      <c r="J72" s="31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9"/>
      <c r="D73" s="9"/>
      <c r="E73" s="6"/>
      <c r="F73" s="6"/>
      <c r="G73" s="6"/>
      <c r="H73" s="9"/>
      <c r="I73" s="9"/>
      <c r="J73" s="31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9"/>
      <c r="D74" s="9"/>
      <c r="E74" s="6"/>
      <c r="F74" s="6"/>
      <c r="G74" s="6"/>
      <c r="H74" s="9"/>
      <c r="I74" s="9"/>
      <c r="J74" s="31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9"/>
      <c r="D75" s="9"/>
      <c r="E75" s="6"/>
      <c r="F75" s="6"/>
      <c r="G75" s="6"/>
      <c r="H75" s="9"/>
      <c r="I75" s="9"/>
      <c r="J75" s="31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9"/>
      <c r="D76" s="9"/>
      <c r="E76" s="6"/>
      <c r="F76" s="6"/>
      <c r="G76" s="6"/>
      <c r="H76" s="9"/>
      <c r="I76" s="9"/>
      <c r="J76" s="31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9"/>
      <c r="D77" s="9"/>
      <c r="E77" s="6"/>
      <c r="F77" s="6"/>
      <c r="G77" s="6"/>
      <c r="H77" s="9"/>
      <c r="I77" s="9"/>
      <c r="J77" s="31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9"/>
      <c r="D78" s="9"/>
      <c r="E78" s="6"/>
      <c r="F78" s="6"/>
      <c r="G78" s="6"/>
      <c r="H78" s="9"/>
      <c r="I78" s="9"/>
      <c r="J78" s="31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9"/>
      <c r="D79" s="9"/>
      <c r="E79" s="6"/>
      <c r="F79" s="6"/>
      <c r="G79" s="6"/>
      <c r="H79" s="9"/>
      <c r="I79" s="9"/>
      <c r="J79" s="31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9"/>
      <c r="D80" s="9"/>
      <c r="E80" s="6"/>
      <c r="F80" s="6"/>
      <c r="G80" s="6"/>
      <c r="H80" s="9"/>
      <c r="I80" s="9"/>
      <c r="J80" s="31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9"/>
      <c r="D81" s="9"/>
      <c r="E81" s="6"/>
      <c r="F81" s="6"/>
      <c r="G81" s="6"/>
      <c r="H81" s="9"/>
      <c r="I81" s="9"/>
      <c r="J81" s="31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9"/>
      <c r="D82" s="9"/>
      <c r="E82" s="6"/>
      <c r="F82" s="6"/>
      <c r="G82" s="6"/>
      <c r="H82" s="9"/>
      <c r="I82" s="9"/>
      <c r="J82" s="31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9"/>
      <c r="D83" s="9"/>
      <c r="E83" s="6"/>
      <c r="F83" s="6"/>
      <c r="G83" s="6"/>
      <c r="H83" s="9"/>
      <c r="I83" s="9"/>
      <c r="J83" s="31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9"/>
      <c r="D84" s="9"/>
      <c r="E84" s="6"/>
      <c r="F84" s="6"/>
      <c r="G84" s="6"/>
      <c r="H84" s="9"/>
      <c r="I84" s="9"/>
      <c r="J84" s="31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9"/>
      <c r="D85" s="9"/>
      <c r="E85" s="6"/>
      <c r="F85" s="6"/>
      <c r="G85" s="6"/>
      <c r="H85" s="9"/>
      <c r="I85" s="9"/>
      <c r="J85" s="31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9"/>
      <c r="D86" s="9"/>
      <c r="E86" s="6"/>
      <c r="F86" s="6"/>
      <c r="G86" s="6"/>
      <c r="H86" s="9"/>
      <c r="I86" s="9"/>
      <c r="J86" s="31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9"/>
      <c r="D87" s="9"/>
      <c r="E87" s="6"/>
      <c r="F87" s="6"/>
      <c r="G87" s="6"/>
      <c r="H87" s="9"/>
      <c r="I87" s="9"/>
      <c r="J87" s="31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9"/>
      <c r="D88" s="9"/>
      <c r="E88" s="6"/>
      <c r="F88" s="6"/>
      <c r="G88" s="6"/>
      <c r="H88" s="9"/>
      <c r="I88" s="9"/>
      <c r="J88" s="31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9"/>
      <c r="D89" s="9"/>
      <c r="E89" s="6"/>
      <c r="F89" s="6"/>
      <c r="G89" s="6"/>
      <c r="H89" s="9"/>
      <c r="I89" s="9"/>
      <c r="J89" s="31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9"/>
      <c r="D90" s="9"/>
      <c r="E90" s="6"/>
      <c r="F90" s="6"/>
      <c r="G90" s="6"/>
      <c r="H90" s="9"/>
      <c r="I90" s="9"/>
      <c r="J90" s="31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9"/>
      <c r="D91" s="9"/>
      <c r="E91" s="6"/>
      <c r="F91" s="6"/>
      <c r="G91" s="6"/>
      <c r="H91" s="9"/>
      <c r="I91" s="9"/>
      <c r="J91" s="31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9"/>
      <c r="D92" s="9"/>
      <c r="E92" s="6"/>
      <c r="F92" s="6"/>
      <c r="G92" s="6"/>
      <c r="H92" s="9"/>
      <c r="I92" s="9"/>
      <c r="J92" s="31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9"/>
      <c r="D93" s="9"/>
      <c r="E93" s="6"/>
      <c r="F93" s="6"/>
      <c r="G93" s="6"/>
      <c r="H93" s="9"/>
      <c r="I93" s="9"/>
      <c r="J93" s="31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9"/>
      <c r="D94" s="9"/>
      <c r="E94" s="6"/>
      <c r="F94" s="6"/>
      <c r="G94" s="6"/>
      <c r="H94" s="9"/>
      <c r="I94" s="9"/>
      <c r="J94" s="31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9"/>
      <c r="D95" s="9"/>
      <c r="E95" s="6"/>
      <c r="F95" s="6"/>
      <c r="G95" s="6"/>
      <c r="H95" s="9"/>
      <c r="I95" s="9"/>
      <c r="J95" s="31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9"/>
      <c r="D96" s="9"/>
      <c r="E96" s="6"/>
      <c r="F96" s="6"/>
      <c r="G96" s="6"/>
      <c r="H96" s="9"/>
      <c r="I96" s="9"/>
      <c r="J96" s="31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9"/>
      <c r="D97" s="9"/>
      <c r="E97" s="6"/>
      <c r="F97" s="6"/>
      <c r="G97" s="6"/>
      <c r="H97" s="9"/>
      <c r="I97" s="9"/>
      <c r="J97" s="31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9"/>
      <c r="D98" s="9"/>
      <c r="E98" s="6"/>
      <c r="F98" s="6"/>
      <c r="G98" s="6"/>
      <c r="H98" s="9"/>
      <c r="I98" s="9"/>
      <c r="J98" s="31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9"/>
      <c r="D99" s="9"/>
      <c r="E99" s="6"/>
      <c r="F99" s="6"/>
      <c r="G99" s="6"/>
      <c r="H99" s="9"/>
      <c r="I99" s="9"/>
      <c r="J99" s="31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9"/>
      <c r="D100" s="9"/>
      <c r="E100" s="6"/>
      <c r="F100" s="6"/>
      <c r="G100" s="6"/>
      <c r="H100" s="9"/>
      <c r="I100" s="9"/>
      <c r="J100" s="31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9"/>
      <c r="D101" s="9"/>
      <c r="E101" s="6"/>
      <c r="F101" s="6"/>
      <c r="G101" s="6"/>
      <c r="H101" s="9"/>
      <c r="I101" s="9"/>
      <c r="J101" s="31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9"/>
      <c r="D102" s="9"/>
      <c r="E102" s="6"/>
      <c r="F102" s="6"/>
      <c r="G102" s="6"/>
      <c r="H102" s="9"/>
      <c r="I102" s="9"/>
      <c r="J102" s="31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9"/>
      <c r="D103" s="9"/>
      <c r="E103" s="6"/>
      <c r="F103" s="6"/>
      <c r="G103" s="6"/>
      <c r="H103" s="9"/>
      <c r="I103" s="9"/>
      <c r="J103" s="31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9"/>
      <c r="D104" s="9"/>
      <c r="E104" s="6"/>
      <c r="F104" s="6"/>
      <c r="G104" s="6"/>
      <c r="H104" s="9"/>
      <c r="I104" s="9"/>
      <c r="J104" s="31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9"/>
      <c r="D105" s="9"/>
      <c r="E105" s="6"/>
      <c r="F105" s="6"/>
      <c r="G105" s="6"/>
      <c r="H105" s="9"/>
      <c r="I105" s="9"/>
      <c r="J105" s="31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9"/>
      <c r="D106" s="9"/>
      <c r="E106" s="6"/>
      <c r="F106" s="6"/>
      <c r="G106" s="6"/>
      <c r="H106" s="9"/>
      <c r="I106" s="9"/>
      <c r="J106" s="31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9"/>
      <c r="D107" s="9"/>
      <c r="E107" s="6"/>
      <c r="F107" s="6"/>
      <c r="G107" s="6"/>
      <c r="H107" s="9"/>
      <c r="I107" s="9"/>
      <c r="J107" s="31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9"/>
      <c r="D108" s="9"/>
      <c r="E108" s="6"/>
      <c r="F108" s="6"/>
      <c r="G108" s="6"/>
      <c r="H108" s="9"/>
      <c r="I108" s="9"/>
      <c r="J108" s="31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9"/>
      <c r="D109" s="9"/>
      <c r="E109" s="6"/>
      <c r="F109" s="6"/>
      <c r="G109" s="6"/>
      <c r="H109" s="9"/>
      <c r="I109" s="9"/>
      <c r="J109" s="31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9"/>
      <c r="D110" s="9"/>
      <c r="E110" s="6"/>
      <c r="F110" s="6"/>
      <c r="G110" s="6"/>
      <c r="H110" s="9"/>
      <c r="I110" s="9"/>
      <c r="J110" s="31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9"/>
      <c r="D111" s="9"/>
      <c r="E111" s="6"/>
      <c r="F111" s="6"/>
      <c r="G111" s="6"/>
      <c r="H111" s="9"/>
      <c r="I111" s="9"/>
      <c r="J111" s="31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9"/>
      <c r="D112" s="9"/>
      <c r="E112" s="6"/>
      <c r="F112" s="6"/>
      <c r="G112" s="6"/>
      <c r="H112" s="9"/>
      <c r="I112" s="9"/>
      <c r="J112" s="31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9"/>
      <c r="D113" s="9"/>
      <c r="E113" s="6"/>
      <c r="F113" s="6"/>
      <c r="G113" s="6"/>
      <c r="H113" s="9"/>
      <c r="I113" s="9"/>
      <c r="J113" s="31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9"/>
      <c r="D114" s="9"/>
      <c r="E114" s="6"/>
      <c r="F114" s="6"/>
      <c r="G114" s="6"/>
      <c r="H114" s="9"/>
      <c r="I114" s="9"/>
      <c r="J114" s="31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9"/>
      <c r="D115" s="9"/>
      <c r="E115" s="6"/>
      <c r="F115" s="6"/>
      <c r="G115" s="6"/>
      <c r="H115" s="9"/>
      <c r="I115" s="9"/>
      <c r="J115" s="31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9"/>
      <c r="D116" s="9"/>
      <c r="E116" s="6"/>
      <c r="F116" s="6"/>
      <c r="G116" s="6"/>
      <c r="H116" s="9"/>
      <c r="I116" s="9"/>
      <c r="J116" s="31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9"/>
      <c r="D117" s="9"/>
      <c r="E117" s="6"/>
      <c r="F117" s="6"/>
      <c r="G117" s="6"/>
      <c r="H117" s="9"/>
      <c r="I117" s="9"/>
      <c r="J117" s="31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9"/>
      <c r="D118" s="9"/>
      <c r="E118" s="6"/>
      <c r="F118" s="6"/>
      <c r="G118" s="6"/>
      <c r="H118" s="9"/>
      <c r="I118" s="9"/>
      <c r="J118" s="31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9"/>
      <c r="D119" s="9"/>
      <c r="E119" s="6"/>
      <c r="F119" s="6"/>
      <c r="G119" s="6"/>
      <c r="H119" s="9"/>
      <c r="I119" s="9"/>
      <c r="J119" s="31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9"/>
      <c r="D120" s="9"/>
      <c r="E120" s="6"/>
      <c r="F120" s="6"/>
      <c r="G120" s="6"/>
      <c r="H120" s="9"/>
      <c r="I120" s="9"/>
      <c r="J120" s="31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9"/>
      <c r="D121" s="9"/>
      <c r="E121" s="6"/>
      <c r="F121" s="6"/>
      <c r="G121" s="6"/>
      <c r="H121" s="9"/>
      <c r="I121" s="9"/>
      <c r="J121" s="31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9"/>
      <c r="D122" s="9"/>
      <c r="E122" s="6"/>
      <c r="F122" s="6"/>
      <c r="G122" s="6"/>
      <c r="H122" s="9"/>
      <c r="I122" s="9"/>
      <c r="J122" s="31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9"/>
      <c r="D123" s="9"/>
      <c r="E123" s="6"/>
      <c r="F123" s="6"/>
      <c r="G123" s="6"/>
      <c r="H123" s="9"/>
      <c r="I123" s="9"/>
      <c r="J123" s="31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9"/>
      <c r="D124" s="9"/>
      <c r="E124" s="6"/>
      <c r="F124" s="6"/>
      <c r="G124" s="6"/>
      <c r="H124" s="9"/>
      <c r="I124" s="9"/>
      <c r="J124" s="31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9"/>
      <c r="D125" s="9"/>
      <c r="E125" s="6"/>
      <c r="F125" s="6"/>
      <c r="G125" s="6"/>
      <c r="H125" s="9"/>
      <c r="I125" s="9"/>
      <c r="J125" s="31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9"/>
      <c r="D126" s="9"/>
      <c r="E126" s="6"/>
      <c r="F126" s="6"/>
      <c r="G126" s="6"/>
      <c r="H126" s="9"/>
      <c r="I126" s="9"/>
      <c r="J126" s="31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9"/>
      <c r="D127" s="9"/>
      <c r="E127" s="6"/>
      <c r="F127" s="6"/>
      <c r="G127" s="6"/>
      <c r="H127" s="9"/>
      <c r="I127" s="9"/>
      <c r="J127" s="31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9"/>
      <c r="D128" s="9"/>
      <c r="E128" s="6"/>
      <c r="F128" s="6"/>
      <c r="G128" s="6"/>
      <c r="H128" s="9"/>
      <c r="I128" s="9"/>
      <c r="J128" s="31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9"/>
      <c r="D129" s="9"/>
      <c r="E129" s="6"/>
      <c r="F129" s="6"/>
      <c r="G129" s="6"/>
      <c r="H129" s="9"/>
      <c r="I129" s="9"/>
      <c r="J129" s="31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9"/>
      <c r="D130" s="9"/>
      <c r="E130" s="6"/>
      <c r="F130" s="6"/>
      <c r="G130" s="6"/>
      <c r="H130" s="9"/>
      <c r="I130" s="9"/>
      <c r="J130" s="31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9"/>
      <c r="D131" s="9"/>
      <c r="E131" s="6"/>
      <c r="F131" s="6"/>
      <c r="G131" s="6"/>
      <c r="H131" s="9"/>
      <c r="I131" s="9"/>
      <c r="J131" s="31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9"/>
      <c r="D132" s="9"/>
      <c r="E132" s="6"/>
      <c r="F132" s="6"/>
      <c r="G132" s="6"/>
      <c r="H132" s="9"/>
      <c r="I132" s="9"/>
      <c r="J132" s="31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9"/>
      <c r="D133" s="9"/>
      <c r="E133" s="6"/>
      <c r="F133" s="6"/>
      <c r="G133" s="6"/>
      <c r="H133" s="9"/>
      <c r="I133" s="9"/>
      <c r="J133" s="31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9"/>
      <c r="D134" s="9"/>
      <c r="E134" s="6"/>
      <c r="F134" s="6"/>
      <c r="G134" s="6"/>
      <c r="H134" s="9"/>
      <c r="I134" s="9"/>
      <c r="J134" s="31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9"/>
      <c r="D135" s="9"/>
      <c r="E135" s="6"/>
      <c r="F135" s="6"/>
      <c r="G135" s="6"/>
      <c r="H135" s="9"/>
      <c r="I135" s="9"/>
      <c r="J135" s="31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9"/>
      <c r="D136" s="9"/>
      <c r="E136" s="6"/>
      <c r="F136" s="6"/>
      <c r="G136" s="6"/>
      <c r="H136" s="9"/>
      <c r="I136" s="9"/>
      <c r="J136" s="31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9"/>
      <c r="D137" s="9"/>
      <c r="E137" s="6"/>
      <c r="F137" s="6"/>
      <c r="G137" s="6"/>
      <c r="H137" s="9"/>
      <c r="I137" s="9"/>
      <c r="J137" s="31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9"/>
      <c r="D138" s="9"/>
      <c r="E138" s="6"/>
      <c r="F138" s="6"/>
      <c r="G138" s="6"/>
      <c r="H138" s="9"/>
      <c r="I138" s="9"/>
      <c r="J138" s="31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9"/>
      <c r="D139" s="9"/>
      <c r="E139" s="6"/>
      <c r="F139" s="6"/>
      <c r="G139" s="6"/>
      <c r="H139" s="9"/>
      <c r="I139" s="9"/>
      <c r="J139" s="31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9"/>
      <c r="D140" s="9"/>
      <c r="E140" s="6"/>
      <c r="F140" s="6"/>
      <c r="G140" s="6"/>
      <c r="H140" s="9"/>
      <c r="I140" s="9"/>
      <c r="J140" s="31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9"/>
      <c r="D141" s="9"/>
      <c r="E141" s="6"/>
      <c r="F141" s="6"/>
      <c r="G141" s="6"/>
      <c r="H141" s="9"/>
      <c r="I141" s="9"/>
      <c r="J141" s="31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9"/>
      <c r="D142" s="9"/>
      <c r="E142" s="6"/>
      <c r="F142" s="6"/>
      <c r="G142" s="6"/>
      <c r="H142" s="9"/>
      <c r="I142" s="9"/>
      <c r="J142" s="31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9"/>
      <c r="D143" s="9"/>
      <c r="E143" s="6"/>
      <c r="F143" s="6"/>
      <c r="G143" s="6"/>
      <c r="H143" s="9"/>
      <c r="I143" s="9"/>
      <c r="J143" s="31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9"/>
      <c r="D144" s="9"/>
      <c r="E144" s="6"/>
      <c r="F144" s="6"/>
      <c r="G144" s="6"/>
      <c r="H144" s="9"/>
      <c r="I144" s="9"/>
      <c r="J144" s="31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9"/>
      <c r="D145" s="9"/>
      <c r="E145" s="6"/>
      <c r="F145" s="6"/>
      <c r="G145" s="6"/>
      <c r="H145" s="9"/>
      <c r="I145" s="9"/>
      <c r="J145" s="31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9"/>
      <c r="D146" s="9"/>
      <c r="E146" s="6"/>
      <c r="F146" s="6"/>
      <c r="G146" s="6"/>
      <c r="H146" s="9"/>
      <c r="I146" s="9"/>
      <c r="J146" s="31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9"/>
      <c r="D147" s="9"/>
      <c r="E147" s="6"/>
      <c r="F147" s="6"/>
      <c r="G147" s="6"/>
      <c r="H147" s="9"/>
      <c r="I147" s="9"/>
      <c r="J147" s="31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9"/>
      <c r="D148" s="9"/>
      <c r="E148" s="6"/>
      <c r="F148" s="6"/>
      <c r="G148" s="6"/>
      <c r="H148" s="9"/>
      <c r="I148" s="9"/>
      <c r="J148" s="31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9"/>
      <c r="D149" s="9"/>
      <c r="E149" s="6"/>
      <c r="F149" s="6"/>
      <c r="G149" s="6"/>
      <c r="H149" s="9"/>
      <c r="I149" s="9"/>
      <c r="J149" s="31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9"/>
      <c r="D150" s="9"/>
      <c r="E150" s="6"/>
      <c r="F150" s="6"/>
      <c r="G150" s="6"/>
      <c r="H150" s="9"/>
      <c r="I150" s="9"/>
      <c r="J150" s="31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9"/>
      <c r="D151" s="9"/>
      <c r="E151" s="6"/>
      <c r="F151" s="6"/>
      <c r="G151" s="6"/>
      <c r="H151" s="9"/>
      <c r="I151" s="9"/>
      <c r="J151" s="31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9"/>
      <c r="D152" s="9"/>
      <c r="E152" s="6"/>
      <c r="F152" s="6"/>
      <c r="G152" s="6"/>
      <c r="H152" s="9"/>
      <c r="I152" s="9"/>
      <c r="J152" s="31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9"/>
      <c r="D153" s="9"/>
      <c r="E153" s="6"/>
      <c r="F153" s="6"/>
      <c r="G153" s="6"/>
      <c r="H153" s="9"/>
      <c r="I153" s="9"/>
      <c r="J153" s="31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9"/>
      <c r="D154" s="9"/>
      <c r="E154" s="6"/>
      <c r="F154" s="6"/>
      <c r="G154" s="6"/>
      <c r="H154" s="9"/>
      <c r="I154" s="9"/>
      <c r="J154" s="31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9"/>
      <c r="D155" s="9"/>
      <c r="E155" s="6"/>
      <c r="F155" s="6"/>
      <c r="G155" s="6"/>
      <c r="H155" s="9"/>
      <c r="I155" s="9"/>
      <c r="J155" s="31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9"/>
      <c r="D156" s="9"/>
      <c r="E156" s="6"/>
      <c r="F156" s="6"/>
      <c r="G156" s="6"/>
      <c r="H156" s="9"/>
      <c r="I156" s="9"/>
      <c r="J156" s="31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9"/>
      <c r="D157" s="9"/>
      <c r="E157" s="6"/>
      <c r="F157" s="6"/>
      <c r="G157" s="6"/>
      <c r="H157" s="9"/>
      <c r="I157" s="9"/>
      <c r="J157" s="31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9"/>
      <c r="D158" s="9"/>
      <c r="E158" s="6"/>
      <c r="F158" s="6"/>
      <c r="G158" s="6"/>
      <c r="H158" s="9"/>
      <c r="I158" s="9"/>
      <c r="J158" s="31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9"/>
      <c r="D159" s="9"/>
      <c r="E159" s="6"/>
      <c r="F159" s="6"/>
      <c r="G159" s="6"/>
      <c r="H159" s="9"/>
      <c r="I159" s="9"/>
      <c r="J159" s="31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9"/>
      <c r="D160" s="9"/>
      <c r="E160" s="6"/>
      <c r="F160" s="6"/>
      <c r="G160" s="6"/>
      <c r="H160" s="9"/>
      <c r="I160" s="9"/>
      <c r="J160" s="31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9"/>
      <c r="D161" s="9"/>
      <c r="E161" s="6"/>
      <c r="F161" s="6"/>
      <c r="G161" s="6"/>
      <c r="H161" s="9"/>
      <c r="I161" s="9"/>
      <c r="J161" s="31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9"/>
      <c r="D162" s="9"/>
      <c r="E162" s="6"/>
      <c r="F162" s="6"/>
      <c r="G162" s="6"/>
      <c r="H162" s="9"/>
      <c r="I162" s="9"/>
      <c r="J162" s="31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9"/>
      <c r="D163" s="9"/>
      <c r="E163" s="6"/>
      <c r="F163" s="6"/>
      <c r="G163" s="6"/>
      <c r="H163" s="9"/>
      <c r="I163" s="9"/>
      <c r="J163" s="31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9"/>
      <c r="D164" s="9"/>
      <c r="E164" s="6"/>
      <c r="F164" s="6"/>
      <c r="G164" s="6"/>
      <c r="H164" s="9"/>
      <c r="I164" s="9"/>
      <c r="J164" s="31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9"/>
      <c r="D165" s="9"/>
      <c r="E165" s="6"/>
      <c r="F165" s="6"/>
      <c r="G165" s="6"/>
      <c r="H165" s="9"/>
      <c r="I165" s="9"/>
      <c r="J165" s="31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9"/>
      <c r="D166" s="9"/>
      <c r="E166" s="6"/>
      <c r="F166" s="6"/>
      <c r="G166" s="6"/>
      <c r="H166" s="9"/>
      <c r="I166" s="9"/>
      <c r="J166" s="31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9"/>
      <c r="D167" s="9"/>
      <c r="E167" s="6"/>
      <c r="F167" s="6"/>
      <c r="G167" s="6"/>
      <c r="H167" s="9"/>
      <c r="I167" s="9"/>
      <c r="J167" s="31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9"/>
      <c r="D168" s="9"/>
      <c r="E168" s="6"/>
      <c r="F168" s="6"/>
      <c r="G168" s="6"/>
      <c r="H168" s="9"/>
      <c r="I168" s="9"/>
      <c r="J168" s="31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9"/>
      <c r="D169" s="9"/>
      <c r="E169" s="6"/>
      <c r="F169" s="6"/>
      <c r="G169" s="6"/>
      <c r="H169" s="9"/>
      <c r="I169" s="9"/>
      <c r="J169" s="31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9"/>
      <c r="D170" s="9"/>
      <c r="E170" s="6"/>
      <c r="F170" s="6"/>
      <c r="G170" s="6"/>
      <c r="H170" s="9"/>
      <c r="I170" s="9"/>
      <c r="J170" s="31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9"/>
      <c r="D171" s="9"/>
      <c r="E171" s="6"/>
      <c r="F171" s="6"/>
      <c r="G171" s="6"/>
      <c r="H171" s="9"/>
      <c r="I171" s="9"/>
      <c r="J171" s="31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9"/>
      <c r="D172" s="9"/>
      <c r="E172" s="6"/>
      <c r="F172" s="6"/>
      <c r="G172" s="6"/>
      <c r="H172" s="9"/>
      <c r="I172" s="9"/>
      <c r="J172" s="31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9"/>
      <c r="D173" s="9"/>
      <c r="E173" s="6"/>
      <c r="F173" s="6"/>
      <c r="G173" s="6"/>
      <c r="H173" s="9"/>
      <c r="I173" s="9"/>
      <c r="J173" s="31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9"/>
      <c r="D174" s="9"/>
      <c r="E174" s="6"/>
      <c r="F174" s="6"/>
      <c r="G174" s="6"/>
      <c r="H174" s="9"/>
      <c r="I174" s="9"/>
      <c r="J174" s="31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9"/>
      <c r="D175" s="9"/>
      <c r="E175" s="6"/>
      <c r="F175" s="6"/>
      <c r="G175" s="6"/>
      <c r="H175" s="9"/>
      <c r="I175" s="9"/>
      <c r="J175" s="31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9"/>
      <c r="D176" s="9"/>
      <c r="E176" s="6"/>
      <c r="F176" s="6"/>
      <c r="G176" s="6"/>
      <c r="H176" s="9"/>
      <c r="I176" s="9"/>
      <c r="J176" s="31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9"/>
      <c r="D177" s="9"/>
      <c r="E177" s="6"/>
      <c r="F177" s="6"/>
      <c r="G177" s="6"/>
      <c r="H177" s="9"/>
      <c r="I177" s="9"/>
      <c r="J177" s="31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9"/>
      <c r="D178" s="9"/>
      <c r="E178" s="6"/>
      <c r="F178" s="6"/>
      <c r="G178" s="6"/>
      <c r="H178" s="9"/>
      <c r="I178" s="9"/>
      <c r="J178" s="31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9"/>
      <c r="D179" s="9"/>
      <c r="E179" s="6"/>
      <c r="F179" s="6"/>
      <c r="G179" s="6"/>
      <c r="H179" s="9"/>
      <c r="I179" s="9"/>
      <c r="J179" s="31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9"/>
      <c r="D180" s="9"/>
      <c r="E180" s="6"/>
      <c r="F180" s="6"/>
      <c r="G180" s="6"/>
      <c r="H180" s="9"/>
      <c r="I180" s="9"/>
      <c r="J180" s="31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9"/>
      <c r="D181" s="9"/>
      <c r="E181" s="6"/>
      <c r="F181" s="6"/>
      <c r="G181" s="6"/>
      <c r="H181" s="9"/>
      <c r="I181" s="9"/>
      <c r="J181" s="31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9"/>
      <c r="D182" s="9"/>
      <c r="E182" s="6"/>
      <c r="F182" s="6"/>
      <c r="G182" s="6"/>
      <c r="H182" s="9"/>
      <c r="I182" s="9"/>
      <c r="J182" s="31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9"/>
      <c r="D183" s="9"/>
      <c r="E183" s="6"/>
      <c r="F183" s="6"/>
      <c r="G183" s="6"/>
      <c r="H183" s="9"/>
      <c r="I183" s="9"/>
      <c r="J183" s="31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9"/>
      <c r="D184" s="9"/>
      <c r="E184" s="6"/>
      <c r="F184" s="6"/>
      <c r="G184" s="6"/>
      <c r="H184" s="9"/>
      <c r="I184" s="9"/>
      <c r="J184" s="31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9"/>
      <c r="D185" s="9"/>
      <c r="E185" s="6"/>
      <c r="F185" s="6"/>
      <c r="G185" s="6"/>
      <c r="H185" s="9"/>
      <c r="I185" s="9"/>
      <c r="J185" s="31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9"/>
      <c r="D186" s="9"/>
      <c r="E186" s="6"/>
      <c r="F186" s="6"/>
      <c r="G186" s="6"/>
      <c r="H186" s="9"/>
      <c r="I186" s="9"/>
      <c r="J186" s="31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9"/>
      <c r="D187" s="9"/>
      <c r="E187" s="6"/>
      <c r="F187" s="6"/>
      <c r="G187" s="6"/>
      <c r="H187" s="9"/>
      <c r="I187" s="9"/>
      <c r="J187" s="31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9"/>
      <c r="D188" s="9"/>
      <c r="E188" s="6"/>
      <c r="F188" s="6"/>
      <c r="G188" s="6"/>
      <c r="H188" s="9"/>
      <c r="I188" s="9"/>
      <c r="J188" s="31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9"/>
      <c r="D189" s="9"/>
      <c r="E189" s="6"/>
      <c r="F189" s="6"/>
      <c r="G189" s="6"/>
      <c r="H189" s="9"/>
      <c r="I189" s="9"/>
      <c r="J189" s="31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9"/>
      <c r="D190" s="9"/>
      <c r="E190" s="6"/>
      <c r="F190" s="6"/>
      <c r="G190" s="6"/>
      <c r="H190" s="9"/>
      <c r="I190" s="9"/>
      <c r="J190" s="31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9"/>
      <c r="D191" s="9"/>
      <c r="E191" s="6"/>
      <c r="F191" s="6"/>
      <c r="G191" s="6"/>
      <c r="H191" s="9"/>
      <c r="I191" s="9"/>
      <c r="J191" s="31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9"/>
      <c r="D192" s="9"/>
      <c r="E192" s="6"/>
      <c r="F192" s="6"/>
      <c r="G192" s="6"/>
      <c r="H192" s="9"/>
      <c r="I192" s="9"/>
      <c r="J192" s="31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9"/>
      <c r="D193" s="9"/>
      <c r="E193" s="6"/>
      <c r="F193" s="6"/>
      <c r="G193" s="6"/>
      <c r="H193" s="9"/>
      <c r="I193" s="9"/>
      <c r="J193" s="31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9"/>
      <c r="D194" s="9"/>
      <c r="E194" s="6"/>
      <c r="F194" s="6"/>
      <c r="G194" s="6"/>
      <c r="H194" s="9"/>
      <c r="I194" s="9"/>
      <c r="J194" s="31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9"/>
      <c r="D195" s="9"/>
      <c r="E195" s="6"/>
      <c r="F195" s="6"/>
      <c r="G195" s="6"/>
      <c r="H195" s="9"/>
      <c r="I195" s="9"/>
      <c r="J195" s="31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9"/>
      <c r="D196" s="9"/>
      <c r="E196" s="6"/>
      <c r="F196" s="6"/>
      <c r="G196" s="6"/>
      <c r="H196" s="9"/>
      <c r="I196" s="9"/>
      <c r="J196" s="31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9"/>
      <c r="D197" s="9"/>
      <c r="E197" s="6"/>
      <c r="F197" s="6"/>
      <c r="G197" s="6"/>
      <c r="H197" s="9"/>
      <c r="I197" s="9"/>
      <c r="J197" s="31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9"/>
      <c r="D198" s="9"/>
      <c r="E198" s="6"/>
      <c r="F198" s="6"/>
      <c r="G198" s="6"/>
      <c r="H198" s="9"/>
      <c r="I198" s="9"/>
      <c r="J198" s="31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9"/>
      <c r="D199" s="9"/>
      <c r="E199" s="6"/>
      <c r="F199" s="6"/>
      <c r="G199" s="6"/>
      <c r="H199" s="9"/>
      <c r="I199" s="9"/>
      <c r="J199" s="31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9"/>
      <c r="D200" s="9"/>
      <c r="E200" s="6"/>
      <c r="F200" s="6"/>
      <c r="G200" s="6"/>
      <c r="H200" s="9"/>
      <c r="I200" s="9"/>
      <c r="J200" s="31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9"/>
      <c r="D201" s="9"/>
      <c r="E201" s="6"/>
      <c r="F201" s="6"/>
      <c r="G201" s="6"/>
      <c r="H201" s="9"/>
      <c r="I201" s="9"/>
      <c r="J201" s="31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9"/>
      <c r="D202" s="9"/>
      <c r="E202" s="6"/>
      <c r="F202" s="6"/>
      <c r="G202" s="6"/>
      <c r="H202" s="9"/>
      <c r="I202" s="9"/>
      <c r="J202" s="31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9"/>
      <c r="D203" s="9"/>
      <c r="E203" s="6"/>
      <c r="F203" s="6"/>
      <c r="G203" s="6"/>
      <c r="H203" s="9"/>
      <c r="I203" s="9"/>
      <c r="J203" s="31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9"/>
      <c r="D204" s="9"/>
      <c r="E204" s="6"/>
      <c r="F204" s="6"/>
      <c r="G204" s="6"/>
      <c r="H204" s="9"/>
      <c r="I204" s="9"/>
      <c r="J204" s="31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9"/>
      <c r="D205" s="9"/>
      <c r="E205" s="6"/>
      <c r="F205" s="6"/>
      <c r="G205" s="6"/>
      <c r="H205" s="9"/>
      <c r="I205" s="9"/>
      <c r="J205" s="31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9"/>
      <c r="D206" s="9"/>
      <c r="E206" s="6"/>
      <c r="F206" s="6"/>
      <c r="G206" s="6"/>
      <c r="H206" s="9"/>
      <c r="I206" s="9"/>
      <c r="J206" s="31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9"/>
      <c r="D207" s="9"/>
      <c r="E207" s="6"/>
      <c r="F207" s="6"/>
      <c r="G207" s="6"/>
      <c r="H207" s="9"/>
      <c r="I207" s="9"/>
      <c r="J207" s="31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9"/>
      <c r="D208" s="9"/>
      <c r="E208" s="6"/>
      <c r="F208" s="6"/>
      <c r="G208" s="6"/>
      <c r="H208" s="9"/>
      <c r="I208" s="9"/>
      <c r="J208" s="31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9"/>
      <c r="D209" s="9"/>
      <c r="E209" s="6"/>
      <c r="F209" s="6"/>
      <c r="G209" s="6"/>
      <c r="H209" s="9"/>
      <c r="I209" s="9"/>
      <c r="J209" s="31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9"/>
      <c r="D210" s="9"/>
      <c r="E210" s="6"/>
      <c r="F210" s="6"/>
      <c r="G210" s="6"/>
      <c r="H210" s="9"/>
      <c r="I210" s="9"/>
      <c r="J210" s="31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9"/>
      <c r="D211" s="9"/>
      <c r="E211" s="6"/>
      <c r="F211" s="6"/>
      <c r="G211" s="6"/>
      <c r="H211" s="9"/>
      <c r="I211" s="9"/>
      <c r="J211" s="31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9"/>
      <c r="D212" s="9"/>
      <c r="E212" s="6"/>
      <c r="F212" s="6"/>
      <c r="G212" s="6"/>
      <c r="H212" s="9"/>
      <c r="I212" s="9"/>
      <c r="J212" s="31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9"/>
      <c r="D213" s="9"/>
      <c r="E213" s="6"/>
      <c r="F213" s="6"/>
      <c r="G213" s="6"/>
      <c r="H213" s="9"/>
      <c r="I213" s="9"/>
      <c r="J213" s="31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9"/>
      <c r="D214" s="9"/>
      <c r="E214" s="6"/>
      <c r="F214" s="6"/>
      <c r="G214" s="6"/>
      <c r="H214" s="9"/>
      <c r="I214" s="9"/>
      <c r="J214" s="31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9"/>
      <c r="D215" s="9"/>
      <c r="E215" s="6"/>
      <c r="F215" s="6"/>
      <c r="G215" s="6"/>
      <c r="H215" s="9"/>
      <c r="I215" s="9"/>
      <c r="J215" s="31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9"/>
      <c r="D216" s="9"/>
      <c r="E216" s="6"/>
      <c r="F216" s="6"/>
      <c r="G216" s="6"/>
      <c r="H216" s="9"/>
      <c r="I216" s="9"/>
      <c r="J216" s="31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9"/>
      <c r="D217" s="9"/>
      <c r="E217" s="6"/>
      <c r="F217" s="6"/>
      <c r="G217" s="6"/>
      <c r="H217" s="9"/>
      <c r="I217" s="9"/>
      <c r="J217" s="31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9"/>
      <c r="D218" s="9"/>
      <c r="E218" s="6"/>
      <c r="F218" s="6"/>
      <c r="G218" s="6"/>
      <c r="H218" s="9"/>
      <c r="I218" s="9"/>
      <c r="J218" s="31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9"/>
      <c r="D219" s="9"/>
      <c r="E219" s="6"/>
      <c r="F219" s="6"/>
      <c r="G219" s="6"/>
      <c r="H219" s="9"/>
      <c r="I219" s="9"/>
      <c r="J219" s="31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9"/>
      <c r="D220" s="9"/>
      <c r="E220" s="6"/>
      <c r="F220" s="6"/>
      <c r="G220" s="6"/>
      <c r="H220" s="9"/>
      <c r="I220" s="9"/>
      <c r="J220" s="31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9"/>
      <c r="D221" s="9"/>
      <c r="E221" s="6"/>
      <c r="F221" s="6"/>
      <c r="G221" s="6"/>
      <c r="H221" s="9"/>
      <c r="I221" s="9"/>
      <c r="J221" s="31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9"/>
      <c r="D222" s="9"/>
      <c r="E222" s="6"/>
      <c r="F222" s="6"/>
      <c r="G222" s="6"/>
      <c r="H222" s="9"/>
      <c r="I222" s="9"/>
      <c r="J222" s="31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9"/>
      <c r="D223" s="9"/>
      <c r="E223" s="6"/>
      <c r="F223" s="6"/>
      <c r="G223" s="6"/>
      <c r="H223" s="9"/>
      <c r="I223" s="9"/>
      <c r="J223" s="31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9"/>
      <c r="D224" s="9"/>
      <c r="E224" s="6"/>
      <c r="F224" s="6"/>
      <c r="G224" s="6"/>
      <c r="H224" s="9"/>
      <c r="I224" s="9"/>
      <c r="J224" s="31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9"/>
      <c r="D225" s="9"/>
      <c r="E225" s="6"/>
      <c r="F225" s="6"/>
      <c r="G225" s="6"/>
      <c r="H225" s="9"/>
      <c r="I225" s="9"/>
      <c r="J225" s="31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9"/>
      <c r="D226" s="9"/>
      <c r="E226" s="6"/>
      <c r="F226" s="6"/>
      <c r="G226" s="6"/>
      <c r="H226" s="9"/>
      <c r="I226" s="9"/>
      <c r="J226" s="31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9"/>
      <c r="D227" s="9"/>
      <c r="E227" s="6"/>
      <c r="F227" s="6"/>
      <c r="G227" s="6"/>
      <c r="H227" s="9"/>
      <c r="I227" s="9"/>
      <c r="J227" s="31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9"/>
      <c r="D228" s="9"/>
      <c r="E228" s="6"/>
      <c r="F228" s="6"/>
      <c r="G228" s="6"/>
      <c r="H228" s="9"/>
      <c r="I228" s="9"/>
      <c r="J228" s="31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9"/>
      <c r="D229" s="9"/>
      <c r="E229" s="6"/>
      <c r="F229" s="6"/>
      <c r="G229" s="6"/>
      <c r="H229" s="9"/>
      <c r="I229" s="9"/>
      <c r="J229" s="31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9"/>
      <c r="D230" s="9"/>
      <c r="E230" s="6"/>
      <c r="F230" s="6"/>
      <c r="G230" s="6"/>
      <c r="H230" s="9"/>
      <c r="I230" s="9"/>
      <c r="J230" s="31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9"/>
      <c r="D231" s="9"/>
      <c r="E231" s="6"/>
      <c r="F231" s="6"/>
      <c r="G231" s="6"/>
      <c r="H231" s="9"/>
      <c r="I231" s="9"/>
      <c r="J231" s="31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9"/>
      <c r="D232" s="9"/>
      <c r="E232" s="6"/>
      <c r="F232" s="6"/>
      <c r="G232" s="6"/>
      <c r="H232" s="9"/>
      <c r="I232" s="9"/>
      <c r="J232" s="31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9"/>
      <c r="D233" s="9"/>
      <c r="E233" s="6"/>
      <c r="F233" s="6"/>
      <c r="G233" s="6"/>
      <c r="H233" s="9"/>
      <c r="I233" s="9"/>
      <c r="J233" s="31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9"/>
      <c r="D234" s="9"/>
      <c r="E234" s="6"/>
      <c r="F234" s="6"/>
      <c r="G234" s="6"/>
      <c r="H234" s="9"/>
      <c r="I234" s="9"/>
      <c r="J234" s="31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9"/>
      <c r="D235" s="9"/>
      <c r="E235" s="6"/>
      <c r="F235" s="6"/>
      <c r="G235" s="6"/>
      <c r="H235" s="9"/>
      <c r="I235" s="9"/>
      <c r="J235" s="31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9"/>
      <c r="D236" s="9"/>
      <c r="E236" s="6"/>
      <c r="F236" s="6"/>
      <c r="G236" s="6"/>
      <c r="H236" s="9"/>
      <c r="I236" s="9"/>
      <c r="J236" s="31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9"/>
      <c r="D237" s="9"/>
      <c r="E237" s="6"/>
      <c r="F237" s="6"/>
      <c r="G237" s="6"/>
      <c r="H237" s="9"/>
      <c r="I237" s="9"/>
      <c r="J237" s="31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9"/>
      <c r="D238" s="9"/>
      <c r="E238" s="6"/>
      <c r="F238" s="6"/>
      <c r="G238" s="6"/>
      <c r="H238" s="9"/>
      <c r="I238" s="9"/>
      <c r="J238" s="31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9"/>
      <c r="D239" s="9"/>
      <c r="E239" s="6"/>
      <c r="F239" s="6"/>
      <c r="G239" s="6"/>
      <c r="H239" s="9"/>
      <c r="I239" s="9"/>
      <c r="J239" s="31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31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31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31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31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31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31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31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31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31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31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31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31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31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31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31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31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31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31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31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31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31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31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31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31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31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31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31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31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31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31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31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31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31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31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31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31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31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31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31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31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31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31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31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31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31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31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31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31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31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31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31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31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31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31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31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31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31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31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31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31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31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31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31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31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31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31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31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31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31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31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31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31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31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31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31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31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31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31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31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31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31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31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31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31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31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31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31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31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31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31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31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31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31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31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31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31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31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31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31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31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31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31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31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31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31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31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31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31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31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31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31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31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31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31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31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31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31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31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31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31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31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31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31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31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31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31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31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31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31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31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31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31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31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31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31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31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31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31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31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31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31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31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31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31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31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31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31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31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31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31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31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31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31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31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31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31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31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31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31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31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31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31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31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31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31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31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31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31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31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31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31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31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31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31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31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31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31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31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31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31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31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31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31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31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31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31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31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31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31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31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31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31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31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31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31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31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31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31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31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31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31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31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31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31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31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31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31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31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31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31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31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31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31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31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31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31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31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31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31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31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31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31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31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31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31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31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31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31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31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31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31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31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31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31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31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31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31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31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31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31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31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31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31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31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31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31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31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31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31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31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31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31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31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31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31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31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31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31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31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31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31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31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31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31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31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31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31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31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31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31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31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31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31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31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31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31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31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31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31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31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31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31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31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31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31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31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31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31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31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31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31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31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31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31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31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31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31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31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31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31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31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31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31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31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31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31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31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31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31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31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31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31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31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31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31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31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31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31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31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31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31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31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31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31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31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31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31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31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31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31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31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31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31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31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31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31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31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31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31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31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31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31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31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31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31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31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31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31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31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31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31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31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31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31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31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31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31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31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31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31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31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31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31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31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31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31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31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31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31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31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31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31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31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31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31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31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31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31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31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31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31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31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31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31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31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31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31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31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31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31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31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31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31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31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31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31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31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31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31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31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31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31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31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31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31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31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31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31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31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31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31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31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31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31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31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31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31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31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31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31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31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31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31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31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31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31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31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31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31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31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31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31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31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31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31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31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31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31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31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31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31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31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31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31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31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31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31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31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31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31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31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31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31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31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31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31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31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31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31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31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31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31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31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31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31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31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31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31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31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31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31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31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31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31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31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31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31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31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31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31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31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31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31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31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31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31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31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31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31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31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31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31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31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31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31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31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31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31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31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31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31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31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31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31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31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31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31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31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31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31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31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31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31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31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31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31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31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31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31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31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31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31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31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31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31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31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31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31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31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31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31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31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31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31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31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31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31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31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31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31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31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31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31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31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31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31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31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31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31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31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31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31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31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31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31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31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31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31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31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31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31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31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31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31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31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31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31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31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31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31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31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31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31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31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31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31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31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31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31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31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31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31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31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31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31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31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31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31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31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31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31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31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31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31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31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31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31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31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31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31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31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31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31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31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31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31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31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31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31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31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31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31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31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31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31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31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31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31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31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31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31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31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31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31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31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31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31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31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31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31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31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31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31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31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31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31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31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31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31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31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31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31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31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31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31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31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31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31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31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31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31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31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31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31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31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31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31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31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31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31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31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31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31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31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31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31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31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31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31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31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31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31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31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31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31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31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31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31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31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31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31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31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31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31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31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31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31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31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31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31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31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31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31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31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31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31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31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31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31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31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31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31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31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31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31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31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31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31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31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31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31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31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31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31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31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31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31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31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31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31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31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31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31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31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31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31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31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31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31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31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31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31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31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31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31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31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31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31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31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31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31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31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31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31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31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31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31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31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31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31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31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31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31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31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31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31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31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31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31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31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31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">
    <mergeCell ref="A23:E23"/>
    <mergeCell ref="A3:E3"/>
    <mergeCell ref="A1:E1"/>
    <mergeCell ref="A4:E4"/>
    <mergeCell ref="A19:B19"/>
    <mergeCell ref="C19:D19"/>
  </mergeCells>
  <printOptions/>
  <pageMargins bottom="1.0" footer="0.0" header="0.0" left="0.75" right="0.75" top="1.0"/>
  <pageSetup orientation="landscape"/>
  <drawing r:id="rId1"/>
</worksheet>
</file>